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951D20-A9A3-4359-AC2E-C38A26EAD2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" r:id="rId1"/>
    <sheet name="Test case List" sheetId="2" r:id="rId2"/>
    <sheet name="TestDesign" sheetId="3" r:id="rId3"/>
    <sheet name="Accessory" sheetId="4" r:id="rId4"/>
    <sheet name="Consumable" sheetId="5" r:id="rId5"/>
    <sheet name="Component" sheetId="6" r:id="rId6"/>
    <sheet name="Test Report" sheetId="7" r:id="rId7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7" l="1"/>
  <c r="C12" i="7"/>
  <c r="C11" i="7"/>
  <c r="G4" i="7"/>
  <c r="C4" i="7"/>
  <c r="C5" i="7" s="1"/>
  <c r="G3" i="7"/>
  <c r="C3" i="7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F6" i="6"/>
  <c r="E6" i="6"/>
  <c r="H13" i="7" s="1"/>
  <c r="D6" i="6"/>
  <c r="G13" i="7" s="1"/>
  <c r="B6" i="6"/>
  <c r="E13" i="7" s="1"/>
  <c r="A6" i="6"/>
  <c r="D13" i="7" s="1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F6" i="5"/>
  <c r="E6" i="5"/>
  <c r="H12" i="7" s="1"/>
  <c r="D6" i="5"/>
  <c r="G12" i="7" s="1"/>
  <c r="B6" i="5"/>
  <c r="E12" i="7" s="1"/>
  <c r="A6" i="5"/>
  <c r="D12" i="7" s="1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F6" i="4"/>
  <c r="E6" i="4"/>
  <c r="H11" i="7" s="1"/>
  <c r="D6" i="4"/>
  <c r="G11" i="7" s="1"/>
  <c r="G15" i="7" s="1"/>
  <c r="B6" i="4"/>
  <c r="E11" i="7" s="1"/>
  <c r="E15" i="7" s="1"/>
  <c r="A6" i="4"/>
  <c r="D11" i="7" s="1"/>
  <c r="D15" i="7" s="1"/>
  <c r="I13" i="7" l="1"/>
  <c r="C6" i="6"/>
  <c r="F13" i="7" s="1"/>
  <c r="I12" i="7"/>
  <c r="C6" i="5"/>
  <c r="F12" i="7" s="1"/>
  <c r="I11" i="7"/>
  <c r="C6" i="4"/>
  <c r="F11" i="7" s="1"/>
  <c r="E18" i="7"/>
  <c r="H15" i="7"/>
  <c r="I15" i="7" l="1"/>
  <c r="E17" i="7" s="1"/>
  <c r="F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ID#doco.NH2ZyloJTZapGJSTNI-z8A
Unknown Author    (2020-11-28 06:09:48)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8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ID#doco.Ke8q7_adEaoBL8zW-2EwmQ
Unknown Author    (2020-11-28 06:09:48)
Pass
Fail
Untested
N/A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8" authorId="0" shapeId="0" xr:uid="{00000000-0006-0000-0400-000001000000}">
      <text>
        <r>
          <rPr>
            <sz val="11"/>
            <color rgb="FF000000"/>
            <rFont val="Calibri"/>
            <scheme val="minor"/>
          </rPr>
          <t>======
ID#doco.HAZHjG_hvZxqoHoNS4TzvA
Unknown Author    (2020-11-28 06:09:48)
Pass
Fail
Untested
N/A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8" authorId="0" shapeId="0" xr:uid="{00000000-0006-0000-0500-000001000000}">
      <text>
        <r>
          <rPr>
            <sz val="11"/>
            <color rgb="FF000000"/>
            <rFont val="Calibri"/>
            <scheme val="minor"/>
          </rPr>
          <t>======
ID#doco.8fXBh7vrX5iD4Cy33OFAGA
Unknown Author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<sst xmlns="http://schemas.openxmlformats.org/spreadsheetml/2006/main" count="385" uniqueCount="214">
  <si>
    <t>TEST CASE</t>
  </si>
  <si>
    <t>Project Name</t>
  </si>
  <si>
    <t>Snipe-IT (IT Asset Management)</t>
  </si>
  <si>
    <t>Creator</t>
  </si>
  <si>
    <t>Tạ Văn Huy</t>
  </si>
  <si>
    <t>Project Code</t>
  </si>
  <si>
    <t>Group17_SnipeIT</t>
  </si>
  <si>
    <t>Reviewer/Approver</t>
  </si>
  <si>
    <t>Trịnh Minh Quý</t>
  </si>
  <si>
    <t>Document Code</t>
  </si>
  <si>
    <t>Group17_SnipeIT_TestCase_V0.1</t>
  </si>
  <si>
    <t>Issue Date</t>
  </si>
  <si>
    <t>Version</t>
  </si>
  <si>
    <t>0.1</t>
  </si>
  <si>
    <t>Record of change</t>
  </si>
  <si>
    <t>Effective Date</t>
  </si>
  <si>
    <t>Change Item</t>
  </si>
  <si>
    <t>*A,D,M</t>
  </si>
  <si>
    <t>Change description</t>
  </si>
  <si>
    <t>Reference</t>
  </si>
  <si>
    <t>All</t>
  </si>
  <si>
    <t>A</t>
  </si>
  <si>
    <t>Tạo TestDesign cho 3 chức năng và 30 test case Accessory (chưa thực thi)</t>
  </si>
  <si>
    <t>https://snipe-it.readme.io/docs/overview</t>
  </si>
  <si>
    <t>TEST CASE LIST</t>
  </si>
  <si>
    <t>Test Environment Setup Description</t>
  </si>
  <si>
    <t>1. Hệ điều hành: Windows 10/11
2. Trình duyệt: Google Chrome (bản mới nhất), Firefox (Check List GUI)
3. Website: https://demo.snipeitapp.com (bản demo stable)
4. Tài khoản: admin / password (quyền Super Admin)
5. Công cụ automation: Katalon
6. Cơ sở test (thay SRS): tài liệu chính thức https://snipe-it.readme.io</t>
  </si>
  <si>
    <t>No</t>
  </si>
  <si>
    <t>Function Name</t>
  </si>
  <si>
    <t>Sheet Name</t>
  </si>
  <si>
    <t>Description</t>
  </si>
  <si>
    <t>Pre-Condition</t>
  </si>
  <si>
    <t>Quản lý phụ kiện (Accessories)</t>
  </si>
  <si>
    <t>Accessory</t>
  </si>
  <si>
    <t>Danh sách, tạo, chỉnh sửa, xóa, cấp phát phụ kiện</t>
  </si>
  <si>
    <t>Đăng nhập tài khoản admin; dữ liệu test được tạo với tiền tố G17_.</t>
  </si>
  <si>
    <t>Quản lý vật tư tiêu hao (Consumables)</t>
  </si>
  <si>
    <t>Consumable</t>
  </si>
  <si>
    <t>Danh sách, tạo, chỉnh sửa, cấp phát vật tư</t>
  </si>
  <si>
    <t>Quản lý linh kiện (Components)</t>
  </si>
  <si>
    <t>Component</t>
  </si>
  <si>
    <t>Danh sách, tạo, chỉnh sửa, gắn và tháo linh kiện</t>
  </si>
  <si>
    <t>Requirement Level 1</t>
  </si>
  <si>
    <t>Requirement Level 2</t>
  </si>
  <si>
    <t>Requirement Level 3</t>
  </si>
  <si>
    <t>Test Criteria</t>
  </si>
  <si>
    <t>Test Type</t>
  </si>
  <si>
    <t>Note</t>
  </si>
  <si>
    <t>1. Phụ kiện (Accessory)</t>
  </si>
  <si>
    <t>Giao diện</t>
  </si>
  <si>
    <t>Danh sách</t>
  </si>
  <si>
    <t>Hiển thị bảng, tiêu đề, cột, nút thao tác</t>
  </si>
  <si>
    <t>GUI</t>
  </si>
  <si>
    <t>Giá trị mặc định</t>
  </si>
  <si>
    <t>Form tạo mới</t>
  </si>
  <si>
    <t>Trường Name, Category, Quantity, các trường tùy chọn</t>
  </si>
  <si>
    <t>Thêm mới</t>
  </si>
  <si>
    <t>Hợp lệ</t>
  </si>
  <si>
    <t>Tạo với thông tin bắt buộc; tạo với đầy đủ dữ liệu</t>
  </si>
  <si>
    <t>Function</t>
  </si>
  <si>
    <t>Thiếu dữ liệu</t>
  </si>
  <si>
    <t>Bỏ trống Name, Category, Quantity</t>
  </si>
  <si>
    <t>Giá trị biên</t>
  </si>
  <si>
    <t>Quantity bằng 0, âm, chữ, số lớn; Name có khoảng trắng</t>
  </si>
  <si>
    <t>Dữ liệu đặc biệt</t>
  </si>
  <si>
    <t>Tên tiếng Việt, ký tự đặc biệt, chuỗi HTML</t>
  </si>
  <si>
    <t>Sửa</t>
  </si>
  <si>
    <t>Hợp lệ và không hợp lệ</t>
  </si>
  <si>
    <t>Sửa Name, Quantity; bỏ trống trường bắt buộc; hủy sửa</t>
  </si>
  <si>
    <t>Xóa</t>
  </si>
  <si>
    <t>Xác nhận và hủy</t>
  </si>
  <si>
    <t>Xóa phụ kiện chưa cấp phát; hủy xóa; kiểm tra ràng buộc</t>
  </si>
  <si>
    <t>Tìm kiếm và sắp xếp</t>
  </si>
  <si>
    <t>Tìm đúng, tìm sai, sắp xếp và phân trang</t>
  </si>
  <si>
    <t>Cấp phát</t>
  </si>
  <si>
    <t>Số lượng</t>
  </si>
  <si>
    <t>Cấp phát cho người dùng, kiểm tra số lượng tồn và vượt tồn</t>
  </si>
  <si>
    <t>2. Vật tư tiêu hao (Consumable)</t>
  </si>
  <si>
    <t>Danh sách và form</t>
  </si>
  <si>
    <t>Hiển thị danh sách và các trường nhập liệu</t>
  </si>
  <si>
    <t>Hợp lệ / thiếu / sai</t>
  </si>
  <si>
    <t>Kiểm tra Name, Category, Quantity, giá trị biên</t>
  </si>
  <si>
    <t>Cập nhật</t>
  </si>
  <si>
    <t>Cập nhật tên và số lượng, hủy sửa</t>
  </si>
  <si>
    <t>Cấp phát và đối chiếu số lượng còn lại</t>
  </si>
  <si>
    <t>Tìm kiếm</t>
  </si>
  <si>
    <t>Tìm kiếm, sắp xếp và phân trang</t>
  </si>
  <si>
    <t>3. Linh kiện (Component)</t>
  </si>
  <si>
    <t>Kiểm tra các cột, nút và giá trị mặc định</t>
  </si>
  <si>
    <t>Kiểm tra Name, Category, Quantity và giá trị biên</t>
  </si>
  <si>
    <t>Sửa tên và số lượng; kiểm tra lỗi nhập liệu</t>
  </si>
  <si>
    <t>Gắn / tháo</t>
  </si>
  <si>
    <t>Nghiệp vụ</t>
  </si>
  <si>
    <t>Gắn linh kiện vào tài sản, tháo và kiểm tra số lượng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</si>
  <si>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</si>
  <si>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</si>
  <si>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</si>
  <si>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</si>
  <si>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</si>
  <si>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</si>
  <si>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</si>
  <si>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</si>
  <si>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</si>
  <si>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</si>
  <si>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</si>
  <si>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</si>
  <si>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</si>
  <si>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</si>
  <si>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</si>
  <si>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</si>
  <si>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Hiển thị danh sách phụ kiện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</si>
  <si>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mở [Accessories].
3. Quan sát thông báo và dữ liệu trên màn hình.</t>
  </si>
  <si>
    <t>1. Màn hình [Accessories] hiển thị.
2. Bảng phụ kiện và các thao tác quản lý được hiển thị.
3. Dữ liệu hiển thị nhất quán với kết quả ở bước 2.</t>
  </si>
  <si>
    <t>Thiết kế dựa trên luồng chức năng; cần xác minh nhãn nút, trường và quy tắc trên demo trước khi thực thi.</t>
  </si>
  <si>
    <t>Mở form tạo phụ kiện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</si>
  <si>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nhấn [Create New] tại [Accessories].
3. Quan sát thông báo và dữ liệu trên màn hình.</t>
  </si>
  <si>
    <t>1. Màn hình [Accessories] hiển thị.
2. Form tạo mới phụ kiện hiển thị các trường nhập liệu.
3. Dữ liệu hiển thị nhất quán với kết quả ở bước 2.</t>
  </si>
  <si>
    <t>Kiểm tra giá trị mặc định form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</si>
  <si>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quan sát form tạo mới khi chưa nhập.
3. Quan sát thông báo và dữ liệu trên màn hình.</t>
  </si>
  <si>
    <t>1. Màn hình [Accessories] hiển thị.
2. Các trường chưa nhập ở trạng thái mặc định, không tự xuất hiện dữ liệu G17_.
3. Dữ liệu hiển thị nhất quán với kết quả ở bước 2.</t>
  </si>
  <si>
    <t>Tạo phụ kiện hợp lệ với trường bắt buộc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</si>
  <si>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G17_Mouse_01], [Category: G17_AccessoryCat], [Quantity: 10]; nhấn [Save].
3. Quan sát thông báo và dữ liệu trên màn hình.</t>
  </si>
  <si>
    <t>1. Màn hình [Accessories] hiển thị.
2. Thông báo tạo thành công; G17_Mouse_01 xuất hiện trong danh sách.
3. Dữ liệu hiển thị nhất quán với kết quả ở bước 2.</t>
  </si>
  <si>
    <t>Tạo phụ kiện với thông tin bổ sung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</si>
  <si>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G17_Keyboard_01], [Category: G17_AccessoryCat], [Quantity: 5], các trường tùy chọn hợp lệ; nhấn [Save].
3. Quan sát thông báo và dữ liệu trên màn hình.</t>
  </si>
  <si>
    <t>1. Màn hình [Accessories] hiển thị.
2. Phụ kiện được lưu; các thông tin đã nhập hiển thị đúng khi xem lại.
3. Dữ liệu hiển thị nhất quán với kết quả ở bước 2.</t>
  </si>
  <si>
    <t>Không nhập tên phụ kiện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</si>
  <si>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để trống [Name], chọn [Category: G17_AccessoryCat], nhập [Quantity: 3]; nhấn [Save].
3. Quan sát thông báo và dữ liệu trên màn hình.</t>
  </si>
  <si>
    <t>1. Màn hình [Accessories] hiển thị.
2. Form báo lỗi bắt buộc tại Name; không tạo bản ghi.
3. Dữ liệu hiển thị nhất quán với kết quả ở bước 2.</t>
  </si>
  <si>
    <t>Không chọn danh mục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</si>
  <si>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G17_NoCategory], [Quantity: 3], không chọn [Category]; nhấn [Save].
3. Quan sát thông báo và dữ liệu trên màn hình.</t>
  </si>
  <si>
    <t>1. Màn hình [Accessories] hiển thị.
2. Hiển thị lỗi yêu cầu chọn Category; không tạo bản ghi.
3. Dữ liệu hiển thị nhất quán với kết quả ở bước 2.</t>
  </si>
  <si>
    <t>Bỏ trống số lượng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</si>
  <si>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G17_NoQty], [Category: G17_AccessoryCat], để trống [Quantity]; nhấn [Save].
3. Quan sát thông báo và dữ liệu trên màn hình.</t>
  </si>
  <si>
    <t>1. Màn hình [Accessories] hiển thị.
2. Form hiển thị yêu cầu nhập số lượng hoặc quy tắc mặc định rõ ràng; không lưu số lượng không hợp lệ.
3. Dữ liệu hiển thị nhất quán với kết quả ở bước 2.</t>
  </si>
  <si>
    <t>Nhập số lượng âm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</si>
  <si>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G17_NegQty], [Category: G17_AccessoryCat], [Quantity: -1]; nhấn [Save].
3. Quan sát thông báo và dữ liệu trên màn hình.</t>
  </si>
  <si>
    <t>1. Màn hình [Accessories] hiển thị.
2. Giá trị âm bị từ chối và hiển thị lỗi; không tạo số lượng âm.
3. Dữ liệu hiển thị nhất quán với kết quả ở bước 2.</t>
  </si>
  <si>
    <t>Nhập chữ vào số lượng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</si>
  <si>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G17_TextQty], [Category: G17_AccessoryCat], [Quantity: abc]; nhấn [Save].
3. Quan sát thông báo và dữ liệu trên màn hình.</t>
  </si>
  <si>
    <t>1. Màn hình [Accessories] hiển thị.
2. Quantity không chấp nhận chữ; không lưu dữ liệu số lượng sai.
3. Dữ liệu hiển thị nhất quán với kết quả ở bước 2.</t>
  </si>
  <si>
    <t>Nhập số lượng thập phân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</si>
  <si>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G17_DecQty], [Category: G17_AccessoryCat], [Quantity: 1.5]; nhấn [Save].
3. Quan sát thông báo và dữ liệu trên màn hình.</t>
  </si>
  <si>
    <t>1. Màn hình [Accessories] hiển thị.
2. Hệ thống từ chối số lượng không nguyên; không lưu số lượng lẻ.
3. Dữ liệu hiển thị nhất quán với kết quả ở bước 2.</t>
  </si>
  <si>
    <t>Nhập số lượng bằng 0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</si>
  <si>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G17_ZeroQty], [Category: G17_AccessoryCat], [Quantity: 0]; nhấn [Save].
3. Quan sát thông báo và dữ liệu trên màn hình.</t>
  </si>
  <si>
    <t>1. Màn hình [Accessories] hiển thị.
2. Hệ thống áp dụng quy tắc số lượng tối thiểu và hiển thị kết quả hoặc lỗi rõ ràng; không có số lượng âm.
3. Dữ liệu hiển thị nhất quán với kết quả ở bước 2.</t>
  </si>
  <si>
    <t>Tên chỉ chứa khoảng trắng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</si>
  <si>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   ], [Category: G17_AccessoryCat], [Quantity: 2]; nhấn [Save].
3. Quan sát thông báo và dữ liệu trên màn hình.</t>
  </si>
  <si>
    <t>1. Màn hình [Accessories] hiển thị.
2. Không tạo phụ kiện có tên chỉ chứa khoảng trắng; hiển thị thông báo kiểm tra Name.
3. Dữ liệu hiển thị nhất quán với kết quả ở bước 2.</t>
  </si>
  <si>
    <t>Tên tiếng Việt có dấu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</si>
  <si>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G17_Chuot_không_dây], [Category: G17_AccessoryCat], [Quantity: 2]; nhấn [Save].
3. Quan sát thông báo và dữ liệu trên màn hình.</t>
  </si>
  <si>
    <t>1. Màn hình [Accessories] hiển thị.
2. Tạo thành công và hiển thị đúng ký tự tiếng Việt.
3. Dữ liệu hiển thị nhất quán với kết quả ở bước 2.</t>
  </si>
  <si>
    <t>Tên chứa ký tự đặc biệt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</si>
  <si>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G17_Mouse_#1_@], [Category: G17_AccessoryCat], [Quantity: 2]; nhấn [Save].
3. Quan sát thông báo và dữ liệu trên màn hình.</t>
  </si>
  <si>
    <t>1. Màn hình [Accessories] hiển thị.
2. Tên được lưu và hiển thị nguyên vẹn hoặc có thông báo quy tắc hợp lệ.
3. Dữ liệu hiển thị nhất quán với kết quả ở bước 2.</t>
  </si>
  <si>
    <t>Tên chứa chuỗi HTML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</si>
  <si>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G17_&lt;b&gt;Mouse&lt;/b&gt;], [Category: G17_AccessoryCat], [Quantity: 2]; nhấn [Save].
3. Quan sát thông báo và dữ liệu trên màn hình.</t>
  </si>
  <si>
    <t>1. Màn hình [Accessories] hiển thị.
2. Không diễn giải HTML thành nội dung thực thi; hiển thị dưới dạng văn bản an toàn hoặc từ chối.
3. Dữ liệu hiển thị nhất quán với kết quả ở bước 2.</t>
  </si>
  <si>
    <t>Hủy thao tác tạo mới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</si>
  <si>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[Name: G17_CancelAdd] rồi nhấn [Cancel].
3. Quan sát thông báo và dữ liệu trên màn hình.</t>
  </si>
  <si>
    <t>1. Màn hình [Accessories] hiển thị.
2. Quay lại danh sách; không có phụ kiện G17_CancelAdd mới.
3. Dữ liệu hiển thị nhất quán với kết quả ở bước 2.</t>
  </si>
  <si>
    <t>Mở form chỉnh sửa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</si>
  <si>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tìm [G17_Mouse_01] và nhấn [Edit].
3. Quan sát thông báo và dữ liệu trên màn hình.</t>
  </si>
  <si>
    <t>1. Màn hình [Accessories] hiển thị.
2. Form sửa hiển thị dữ liệu hiện tại của G17_Mouse_01.
3. Dữ liệu hiển thị nhất quán với kết quả ở bước 2.</t>
  </si>
  <si>
    <t>Sửa tên phụ kiện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</si>
  <si>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đổi [Name] thành [G17_Mouse_Updated]; nhấn [Save].
3. Quan sát thông báo và dữ liệu trên màn hình.</t>
  </si>
  <si>
    <t>1. Màn hình [Accessories] hiển thị.
2. Hiển thị thông báo cập nhật; tên mới xuất hiện trong danh sách.
3. Dữ liệu hiển thị nhất quán với kết quả ở bước 2.</t>
  </si>
  <si>
    <t>Sửa số lượng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</si>
  <si>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đổi [Quantity] từ [10] thành [12]; nhấn [Save].
3. Quan sát thông báo và dữ liệu trên màn hình.</t>
  </si>
  <si>
    <t>1. Màn hình [Accessories] hiển thị.
2. Thông báo cập nhật; số lượng hiển thị 12 khi xem lại.
3. Dữ liệu hiển thị nhất quán với kết quả ở bước 2.</t>
  </si>
  <si>
    <t>Sửa tên thành rỗng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</si>
  <si>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xóa [Name] của phụ kiện có sẵn; nhấn [Save].
3. Quan sát thông báo và dữ liệu trên màn hình.</t>
  </si>
  <si>
    <t>1. Màn hình [Accessories] hiển thị.
2. Hiển thị lỗi Name bắt buộc; dữ liệu cũ không bị thay đổi.
3. Dữ liệu hiển thị nhất quán với kết quả ở bước 2.</t>
  </si>
  <si>
    <t>Hủy thao tác chỉnh sửa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</si>
  <si>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đổi tên tạm thành [G17_Unsaved] rồi nhấn [Cancel].
3. Quan sát thông báo và dữ liệu trên màn hình.</t>
  </si>
  <si>
    <t>1. Màn hình [Accessories] hiển thị.
2. Quay lại danh sách; tên đã lưu trước đó không đổi.
3. Dữ liệu hiển thị nhất quán với kết quả ở bước 2.</t>
  </si>
  <si>
    <t>Tìm kiếm phụ kiện tồn tại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</si>
  <si>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[G17_Mouse_Updated] vào ô [Search].
3. Quan sát thông báo và dữ liệu trên màn hình.</t>
  </si>
  <si>
    <t>1. Màn hình [Accessories] hiển thị.
2. Bảng hiển thị phụ kiện khớp từ khóa.
3. Dữ liệu hiển thị nhất quán với kết quả ở bước 2.</t>
  </si>
  <si>
    <t>Tìm kiếm không có kết quả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</si>
  <si>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[G17_NotFound_98765] vào ô [Search].
3. Quan sát thông báo và dữ liệu trên màn hình.</t>
  </si>
  <si>
    <t>1. Màn hình [Accessories] hiển thị.
2. Bảng hiển thị trạng thái không có kết quả phù hợp.
3. Dữ liệu hiển thị nhất quán với kết quả ở bước 2.</t>
  </si>
  <si>
    <t>Sắp xếp danh sách theo tên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</si>
  <si>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nhấn tiêu đề cột [Name] hai lần.
3. Quan sát thông báo và dữ liệu trên màn hình.</t>
  </si>
  <si>
    <t>1. Màn hình [Accessories] hiển thị.
2. Thứ tự tên thay đổi giữa tăng dần và giảm dần.
3. Dữ liệu hiển thị nhất quán với kết quả ở bước 2.</t>
  </si>
  <si>
    <t>Chuyển trang danh sách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</si>
  <si>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tạo đủ bản ghi nếu cần, chọn trang tiếp theo ở phân trang.
3. Quan sát thông báo và dữ liệu trên màn hình.</t>
  </si>
  <si>
    <t>1. Màn hình [Accessories] hiển thị.
2. Hiển thị trang kế tiếp, không lặp nguyên trạng các dòng của trang trước.
3. Dữ liệu hiển thị nhất quán với kết quả ở bước 2.</t>
  </si>
  <si>
    <t>Mở thao tác cấp phát phụ kiện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</si>
  <si>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tìm phụ kiện có số lượng tồn [G17_Mouse_Updated]; nhấn [Checkout] hoặc thao tác cấp phát tương ứng.
3. Quan sát thông báo và dữ liệu trên màn hình.</t>
  </si>
  <si>
    <t>1. Màn hình [Accessories] hiển thị.
2. Form cấp phát hiển thị đối tượng nhận và số lượng cần cấp.
3. Dữ liệu hiển thị nhất quán với kết quả ở bước 2.</t>
  </si>
  <si>
    <t>Cấp phát số lượng hợp lệ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</si>
  <si>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chọn người dùng thử [G17_TestUser], nhập số lượng [2], nhấn nút xác nhận cấp phát.
3. Quan sát thông báo và dữ liệu trên màn hình.</t>
  </si>
  <si>
    <t>1. Màn hình [Accessories] hiển thị.
2. Thông báo cấp phát thành công; số lượng khả dụng giảm 2; lịch sử ghi nhận người nhận.
3. Dữ liệu hiển thị nhất quán với kết quả ở bước 2.</t>
  </si>
  <si>
    <t>Không cấp phát vượt số lượng khả dụng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</si>
  <si>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nhập số lượng lớn hơn tồn khả dụng [999999] rồi xác nhận.
3. Quan sát thông báo và dữ liệu trên màn hình.</t>
  </si>
  <si>
    <t>1. Màn hình [Accessories] hiển thị.
2. Hiển thị lỗi hoặc chặn thao tác; tồn kho không bị trừ.
3. Dữ liệu hiển thị nhất quán với kết quả ở bước 2.</t>
  </si>
  <si>
    <t>Hủy thao tác xóa phụ kiện</t>
  </si>
  <si>
    <t>Pre-condition:
+ Đăng nhập https://demo.snipeitapp.com với tài khoản quản trị.
+ Tạo trước danh mục phụ kiện [G17_AccessoryCat] nếu test cần.
+ Với thao tác sửa/cấp phát/xóa, tạo trước dữ liệu G17_ tương ứng; với cấp phát tạo người dùng thử và bảo đảm còn tồn kho.
Step:
1. Mở menu [Accessories].
2. chọn phụ kiện chưa cấp phát [G17_Keyboard_01], nhấn [Delete] rồi [Cancel].
3. Quan sát thông báo và dữ liệu trên màn hình.</t>
  </si>
  <si>
    <t>1. Màn hình [Accessories] hiển thị.
2. Hộp thoại đóng; phụ kiện vẫn có trong danh sách.
3. Dữ liệu hiển thị nhất quán với kết quả ở bước 2.</t>
  </si>
  <si>
    <t>Chưa triển khai test case chi tiết trong đợt nộp này; đã có TestDesign.</t>
  </si>
  <si>
    <t>TEST REPORT</t>
  </si>
  <si>
    <t>Notes</t>
  </si>
  <si>
    <t>Modules in this file: 3 functions assigned to the tester (see Test case List)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</si>
  <si>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</si>
  <si>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</si>
  <si>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</si>
  <si>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</si>
  <si>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</si>
  <si>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</si>
  <si>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</si>
  <si>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</si>
  <si>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19-thg 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</si>
</sst>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"/>
  </numFmts>
  <fonts count="23" x14ac:knownFonts="1">
    <font>
      <sz val="11"/>
      <color rgb="FF000000"/>
      <name val="Calibri"/>
      <scheme val="minor"/>
    </font>
    <font>
      <sz val="10"/>
      <color theme="1"/>
      <name val="Tahoma"/>
    </font>
    <font>
      <sz val="10"/>
      <color rgb="FF000000"/>
      <name val="Tahoma"/>
    </font>
    <font>
      <b/>
      <sz val="10"/>
      <color theme="1"/>
      <name val="Arial"/>
    </font>
    <font>
      <b/>
      <sz val="20"/>
      <color rgb="FF000000"/>
      <name val="Tahoma"/>
    </font>
    <font>
      <b/>
      <sz val="10"/>
      <color theme="1"/>
      <name val="Tahoma"/>
    </font>
    <font>
      <b/>
      <sz val="10"/>
      <color rgb="FF000000"/>
      <name val="Tahoma"/>
    </font>
    <font>
      <b/>
      <sz val="22"/>
      <color rgb="FFFF0000"/>
      <name val="Tahoma"/>
    </font>
    <font>
      <b/>
      <sz val="10"/>
      <color theme="1"/>
      <name val="Calibri"/>
    </font>
    <font>
      <sz val="10"/>
      <color rgb="FFFF0000"/>
      <name val="Tahoma"/>
    </font>
    <font>
      <sz val="10"/>
      <color theme="1"/>
      <name val="Arial"/>
    </font>
    <font>
      <b/>
      <sz val="10"/>
      <color rgb="FFFF0000"/>
      <name val="Tahoma"/>
    </font>
    <font>
      <i/>
      <sz val="10"/>
      <color rgb="FF008000"/>
      <name val="Tahoma"/>
    </font>
    <font>
      <b/>
      <sz val="10"/>
      <color rgb="FF993300"/>
      <name val="Tahoma"/>
    </font>
    <font>
      <sz val="10"/>
      <color theme="1"/>
      <name val="Calibri"/>
    </font>
    <font>
      <b/>
      <sz val="10"/>
      <color rgb="FFFFFFFF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u/>
      <sz val="11"/>
      <color rgb="FF0000FF"/>
      <name val="MS PGothic"/>
    </font>
    <font>
      <sz val="10"/>
      <color rgb="FF000000"/>
      <name val="Arial"/>
    </font>
    <font>
      <sz val="11"/>
      <color rgb="FF000000"/>
      <name val="Calibri"/>
    </font>
    <font>
      <sz val="10"/>
      <color rgb="FFFFFFFF"/>
      <name val="Tahoma"/>
    </font>
    <font>
      <b/>
      <sz val="10"/>
      <color rgb="FF0000FF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1" fillId="2" borderId="1" xfId="0" applyFont="1" applyFill="1" applyBorder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0" fillId="0" borderId="5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0" fillId="0" borderId="8" xfId="0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wrapText="1"/>
    </xf>
    <xf numFmtId="0" fontId="13" fillId="2" borderId="10" xfId="0" applyFont="1" applyFill="1" applyBorder="1" applyAlignment="1">
      <alignment horizontal="left"/>
    </xf>
    <xf numFmtId="0" fontId="10" fillId="0" borderId="11" xfId="0" applyFont="1" applyBorder="1" applyAlignment="1">
      <alignment horizontal="left" vertical="center" wrapText="1"/>
    </xf>
    <xf numFmtId="0" fontId="1" fillId="0" borderId="6" xfId="0" applyFont="1" applyBorder="1"/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wrapText="1"/>
    </xf>
    <xf numFmtId="164" fontId="12" fillId="0" borderId="6" xfId="0" applyNumberFormat="1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2" fillId="2" borderId="18" xfId="0" applyFont="1" applyFill="1" applyBorder="1" applyAlignment="1">
      <alignment horizontal="center" vertical="center"/>
    </xf>
    <xf numFmtId="0" fontId="13" fillId="2" borderId="1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15" fillId="5" borderId="19" xfId="0" applyNumberFormat="1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 wrapText="1"/>
    </xf>
    <xf numFmtId="0" fontId="15" fillId="5" borderId="2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12" fillId="0" borderId="23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2" fillId="2" borderId="1" xfId="0" applyFont="1" applyFill="1" applyBorder="1" applyAlignment="1">
      <alignment horizontal="center" wrapText="1"/>
    </xf>
    <xf numFmtId="0" fontId="12" fillId="0" borderId="24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15" fillId="5" borderId="25" xfId="0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 wrapText="1"/>
    </xf>
    <xf numFmtId="15" fontId="1" fillId="0" borderId="23" xfId="0" applyNumberFormat="1" applyFont="1" applyBorder="1" applyAlignment="1">
      <alignment vertical="top"/>
    </xf>
    <xf numFmtId="0" fontId="15" fillId="5" borderId="27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vertical="top"/>
    </xf>
    <xf numFmtId="0" fontId="15" fillId="5" borderId="2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5" fontId="1" fillId="0" borderId="29" xfId="0" applyNumberFormat="1" applyFont="1" applyBorder="1" applyAlignment="1">
      <alignment vertical="top"/>
    </xf>
    <xf numFmtId="49" fontId="1" fillId="0" borderId="30" xfId="0" applyNumberFormat="1" applyFont="1" applyBorder="1" applyAlignment="1">
      <alignment vertical="top"/>
    </xf>
    <xf numFmtId="0" fontId="1" fillId="2" borderId="31" xfId="0" applyFont="1" applyFill="1" applyBorder="1" applyAlignment="1">
      <alignment vertical="top" wrapText="1"/>
    </xf>
    <xf numFmtId="0" fontId="14" fillId="0" borderId="10" xfId="0" applyFont="1" applyBorder="1" applyAlignment="1">
      <alignment horizontal="left" vertical="top" wrapText="1"/>
    </xf>
    <xf numFmtId="0" fontId="1" fillId="0" borderId="30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1" fillId="2" borderId="10" xfId="0" applyFont="1" applyFill="1" applyBorder="1" applyAlignment="1">
      <alignment vertical="top" wrapText="1"/>
    </xf>
    <xf numFmtId="14" fontId="1" fillId="2" borderId="10" xfId="0" applyNumberFormat="1" applyFont="1" applyFill="1" applyBorder="1" applyAlignment="1">
      <alignment vertical="top" wrapText="1"/>
    </xf>
    <xf numFmtId="0" fontId="1" fillId="2" borderId="33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" fillId="2" borderId="33" xfId="0" applyFont="1" applyFill="1" applyBorder="1"/>
    <xf numFmtId="0" fontId="9" fillId="2" borderId="1" xfId="0" applyFont="1" applyFill="1" applyBorder="1"/>
    <xf numFmtId="0" fontId="14" fillId="0" borderId="10" xfId="0" applyFont="1" applyBorder="1" applyAlignment="1">
      <alignment horizontal="left" vertical="top"/>
    </xf>
    <xf numFmtId="0" fontId="20" fillId="0" borderId="0" xfId="0" applyFont="1"/>
    <xf numFmtId="0" fontId="5" fillId="2" borderId="1" xfId="0" applyFont="1" applyFill="1" applyBorder="1"/>
    <xf numFmtId="15" fontId="1" fillId="2" borderId="1" xfId="0" applyNumberFormat="1" applyFont="1" applyFill="1" applyBorder="1"/>
    <xf numFmtId="0" fontId="13" fillId="2" borderId="1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/>
    </xf>
    <xf numFmtId="0" fontId="1" fillId="2" borderId="31" xfId="0" applyFont="1" applyFill="1" applyBorder="1" applyAlignment="1">
      <alignment vertical="top"/>
    </xf>
    <xf numFmtId="0" fontId="13" fillId="2" borderId="10" xfId="0" applyFont="1" applyFill="1" applyBorder="1" applyAlignment="1">
      <alignment vertical="center"/>
    </xf>
    <xf numFmtId="14" fontId="13" fillId="2" borderId="31" xfId="0" applyNumberFormat="1" applyFont="1" applyFill="1" applyBorder="1" applyAlignment="1">
      <alignment horizontal="left"/>
    </xf>
    <xf numFmtId="0" fontId="12" fillId="2" borderId="31" xfId="0" applyFont="1" applyFill="1" applyBorder="1" applyAlignment="1">
      <alignment vertical="top"/>
    </xf>
    <xf numFmtId="0" fontId="12" fillId="2" borderId="1" xfId="0" applyFont="1" applyFill="1" applyBorder="1"/>
    <xf numFmtId="0" fontId="1" fillId="2" borderId="34" xfId="0" applyFont="1" applyFill="1" applyBorder="1"/>
    <xf numFmtId="0" fontId="15" fillId="5" borderId="35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 wrapText="1"/>
    </xf>
    <xf numFmtId="0" fontId="15" fillId="5" borderId="21" xfId="0" applyFont="1" applyFill="1" applyBorder="1" applyAlignment="1">
      <alignment horizontal="center"/>
    </xf>
    <xf numFmtId="0" fontId="15" fillId="5" borderId="36" xfId="0" applyFont="1" applyFill="1" applyBorder="1" applyAlignment="1">
      <alignment horizontal="center" wrapText="1"/>
    </xf>
    <xf numFmtId="0" fontId="1" fillId="2" borderId="37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21" fillId="5" borderId="40" xfId="0" applyFont="1" applyFill="1" applyBorder="1" applyAlignment="1">
      <alignment horizontal="center"/>
    </xf>
    <xf numFmtId="0" fontId="15" fillId="5" borderId="30" xfId="0" applyFont="1" applyFill="1" applyBorder="1"/>
    <xf numFmtId="0" fontId="21" fillId="5" borderId="30" xfId="0" applyFont="1" applyFill="1" applyBorder="1" applyAlignment="1">
      <alignment horizontal="center"/>
    </xf>
    <xf numFmtId="0" fontId="21" fillId="5" borderId="4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2" fillId="2" borderId="1" xfId="0" applyNumberFormat="1" applyFont="1" applyFill="1" applyBorder="1" applyAlignment="1">
      <alignment horizontal="right" wrapText="1"/>
    </xf>
    <xf numFmtId="0" fontId="4" fillId="0" borderId="10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12" fillId="0" borderId="10" xfId="0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2" fillId="0" borderId="10" xfId="0" applyFont="1" applyBorder="1" applyAlignment="1">
      <alignment horizontal="left"/>
    </xf>
    <xf numFmtId="0" fontId="13" fillId="2" borderId="10" xfId="0" applyFont="1" applyFill="1" applyBorder="1" applyAlignment="1">
      <alignment horizontal="left" vertical="center"/>
    </xf>
    <xf numFmtId="0" fontId="0" fillId="0" borderId="14" xfId="0" applyBorder="1"/>
    <xf numFmtId="0" fontId="12" fillId="2" borderId="10" xfId="0" applyFont="1" applyFill="1" applyBorder="1" applyAlignment="1">
      <alignment vertical="top" wrapText="1"/>
    </xf>
    <xf numFmtId="1" fontId="13" fillId="2" borderId="10" xfId="0" applyNumberFormat="1" applyFont="1" applyFill="1" applyBorder="1" applyAlignment="1">
      <alignment vertical="center" wrapText="1"/>
    </xf>
    <xf numFmtId="0" fontId="12" fillId="2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0" fillId="0" borderId="0" xfId="0"/>
    <xf numFmtId="1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1" fillId="2" borderId="1" xfId="0" applyFont="1" applyFill="1" applyBorder="1" applyAlignment="1">
      <alignment horizontal="left" wrapText="1"/>
    </xf>
    <xf numFmtId="1" fontId="13" fillId="2" borderId="33" xfId="0" applyNumberFormat="1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12" fillId="2" borderId="10" xfId="0" applyFont="1" applyFill="1" applyBorder="1" applyAlignment="1">
      <alignment horizontal="left" wrapText="1"/>
    </xf>
    <xf numFmtId="0" fontId="0" fillId="0" borderId="6" xfId="0" applyBorder="1" applyAlignment="1">
      <alignment wrapText="1"/>
    </xf>
    <xf numFmtId="1" fontId="13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wrapText="1"/>
    </xf>
    <xf numFmtId="1" fontId="15" fillId="4" borderId="19" xfId="0" applyNumberFormat="1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22" xfId="0" applyFont="1" applyFill="1" applyBorder="1" applyAlignment="1">
      <alignment horizontal="center" vertical="center" wrapText="1"/>
    </xf>
    <xf numFmtId="1" fontId="1" fillId="2" borderId="23" xfId="0" applyNumberFormat="1" applyFont="1" applyFill="1" applyBorder="1" applyAlignment="1">
      <alignment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1" fontId="1" fillId="2" borderId="29" xfId="0" applyNumberFormat="1" applyFont="1" applyFill="1" applyBorder="1" applyAlignment="1">
      <alignment vertical="center" wrapText="1"/>
    </xf>
    <xf numFmtId="49" fontId="1" fillId="2" borderId="30" xfId="0" applyNumberFormat="1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group17_21130507_trinhminhquy.xlsx/" TargetMode="External"/><Relationship Id="rId2" Type="http://schemas.openxmlformats.org/officeDocument/2006/relationships/hyperlink" Target="http://group17_21130507_trinhminhquy.xlsx/" TargetMode="External"/><Relationship Id="rId1" Type="http://schemas.openxmlformats.org/officeDocument/2006/relationships/hyperlink" Target="https://docs.google.com/spreadsheets/d/1AnwKOricTaNOeYkLVZC1c59YCSN5VD_i/Group17_21130507_TrinhMinhQuy.xls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 x14ac:dyDescent="0.3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9.109375" customWidth="1"/>
  </cols>
  <sheetData>
    <row r="1" spans="1:26" ht="12.75" customHeight="1" x14ac:dyDescent="0.3">
      <c r="A1" s="1"/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10"/>
      <c r="B2" s="100" t="s">
        <v>0</v>
      </c>
      <c r="C2" s="101"/>
      <c r="D2" s="101"/>
      <c r="E2" s="101"/>
      <c r="F2" s="101"/>
      <c r="G2" s="102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3">
      <c r="A3" s="1"/>
      <c r="B3" s="19"/>
      <c r="C3" s="21"/>
      <c r="D3" s="1"/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24" t="s">
        <v>1</v>
      </c>
      <c r="C4" s="109" t="s">
        <v>2</v>
      </c>
      <c r="D4" s="101"/>
      <c r="E4" s="102"/>
      <c r="F4" s="24" t="s">
        <v>3</v>
      </c>
      <c r="G4" s="26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24" t="s">
        <v>5</v>
      </c>
      <c r="C5" s="109" t="s">
        <v>6</v>
      </c>
      <c r="D5" s="101"/>
      <c r="E5" s="102"/>
      <c r="F5" s="24" t="s">
        <v>7</v>
      </c>
      <c r="G5" s="26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10" t="s">
        <v>9</v>
      </c>
      <c r="C6" s="103" t="s">
        <v>10</v>
      </c>
      <c r="D6" s="104"/>
      <c r="E6" s="105"/>
      <c r="F6" s="24" t="s">
        <v>11</v>
      </c>
      <c r="G6" s="31">
        <v>46314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111"/>
      <c r="C7" s="106"/>
      <c r="D7" s="107"/>
      <c r="E7" s="108"/>
      <c r="F7" s="24" t="s">
        <v>12</v>
      </c>
      <c r="G7" s="32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34"/>
      <c r="C8" s="21"/>
      <c r="D8" s="1"/>
      <c r="E8" s="1"/>
      <c r="F8" s="19"/>
      <c r="G8" s="2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36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37"/>
      <c r="B11" s="38" t="s">
        <v>15</v>
      </c>
      <c r="C11" s="39" t="s">
        <v>12</v>
      </c>
      <c r="D11" s="39" t="s">
        <v>16</v>
      </c>
      <c r="E11" s="39" t="s">
        <v>17</v>
      </c>
      <c r="F11" s="39" t="s">
        <v>18</v>
      </c>
      <c r="G11" s="41" t="s">
        <v>19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25.5" customHeight="1" x14ac:dyDescent="0.3">
      <c r="A12" s="42"/>
      <c r="B12" s="43">
        <v>46314</v>
      </c>
      <c r="C12" s="44" t="s">
        <v>13</v>
      </c>
      <c r="D12" s="42" t="s">
        <v>20</v>
      </c>
      <c r="E12" s="45" t="s">
        <v>21</v>
      </c>
      <c r="F12" s="45" t="s">
        <v>22</v>
      </c>
      <c r="G12" s="47" t="s">
        <v>23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21.75" customHeight="1" x14ac:dyDescent="0.3">
      <c r="A13" s="42"/>
      <c r="B13" s="43"/>
      <c r="C13" s="44"/>
      <c r="D13" s="42"/>
      <c r="E13" s="45"/>
      <c r="F13" s="45"/>
      <c r="G13" s="47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9.5" customHeight="1" x14ac:dyDescent="0.3">
      <c r="A14" s="42"/>
      <c r="B14" s="51"/>
      <c r="C14" s="44"/>
      <c r="D14" s="45"/>
      <c r="E14" s="45"/>
      <c r="F14" s="45"/>
      <c r="G14" s="53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21.75" customHeight="1" x14ac:dyDescent="0.3">
      <c r="A15" s="42"/>
      <c r="B15" s="51"/>
      <c r="C15" s="44"/>
      <c r="D15" s="45"/>
      <c r="E15" s="45"/>
      <c r="F15" s="45"/>
      <c r="G15" s="53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9.5" customHeight="1" x14ac:dyDescent="0.3">
      <c r="A16" s="42"/>
      <c r="B16" s="51"/>
      <c r="C16" s="44"/>
      <c r="D16" s="45"/>
      <c r="E16" s="45"/>
      <c r="F16" s="45"/>
      <c r="G16" s="53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1.75" customHeight="1" x14ac:dyDescent="0.3">
      <c r="A17" s="42"/>
      <c r="B17" s="51"/>
      <c r="C17" s="44"/>
      <c r="D17" s="45"/>
      <c r="E17" s="45"/>
      <c r="F17" s="45"/>
      <c r="G17" s="53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9.5" customHeight="1" x14ac:dyDescent="0.3">
      <c r="A18" s="42"/>
      <c r="B18" s="56"/>
      <c r="C18" s="57"/>
      <c r="D18" s="60"/>
      <c r="E18" s="60"/>
      <c r="F18" s="60"/>
      <c r="G18" s="61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2.75" customHeight="1" x14ac:dyDescent="0.3">
      <c r="A19" s="1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4.25" customHeight="1" x14ac:dyDescent="0.3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4.25" customHeight="1" x14ac:dyDescent="0.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4.25" customHeight="1" x14ac:dyDescent="0.3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4.25" customHeight="1" x14ac:dyDescent="0.3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4.25" customHeight="1" x14ac:dyDescent="0.3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4.25" customHeight="1" x14ac:dyDescent="0.3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4.25" customHeight="1" x14ac:dyDescent="0.3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4.25" customHeight="1" x14ac:dyDescent="0.3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4.25" customHeight="1" x14ac:dyDescent="0.3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4.25" customHeight="1" x14ac:dyDescent="0.3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4.25" customHeight="1" x14ac:dyDescent="0.3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4.25" customHeight="1" x14ac:dyDescent="0.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4.25" customHeight="1" x14ac:dyDescent="0.3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4.25" customHeight="1" x14ac:dyDescent="0.3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4.25" customHeight="1" x14ac:dyDescent="0.3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4.25" customHeight="1" x14ac:dyDescent="0.3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4.25" customHeight="1" x14ac:dyDescent="0.3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4.25" customHeight="1" x14ac:dyDescent="0.3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4.25" customHeight="1" x14ac:dyDescent="0.3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4.25" customHeight="1" x14ac:dyDescent="0.3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4.25" customHeight="1" x14ac:dyDescent="0.3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4.25" customHeight="1" x14ac:dyDescent="0.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4.25" customHeight="1" x14ac:dyDescent="0.3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4.25" customHeight="1" x14ac:dyDescent="0.3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4.25" customHeight="1" x14ac:dyDescent="0.3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4.25" customHeight="1" x14ac:dyDescent="0.3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4.25" customHeight="1" x14ac:dyDescent="0.3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4.25" customHeight="1" x14ac:dyDescent="0.3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4.25" customHeight="1" x14ac:dyDescent="0.3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4.25" customHeight="1" x14ac:dyDescent="0.3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4.25" customHeight="1" x14ac:dyDescent="0.3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4.25" customHeight="1" x14ac:dyDescent="0.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4.25" customHeight="1" x14ac:dyDescent="0.3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4.25" customHeight="1" x14ac:dyDescent="0.3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4.25" customHeight="1" x14ac:dyDescent="0.3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4.25" customHeight="1" x14ac:dyDescent="0.3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4.25" customHeight="1" x14ac:dyDescent="0.3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4.25" customHeight="1" x14ac:dyDescent="0.3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4.25" customHeight="1" x14ac:dyDescent="0.3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4.25" customHeight="1" x14ac:dyDescent="0.3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4.25" customHeight="1" x14ac:dyDescent="0.3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4.25" customHeight="1" x14ac:dyDescent="0.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4.25" customHeight="1" x14ac:dyDescent="0.3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4.25" customHeight="1" x14ac:dyDescent="0.3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4.25" customHeight="1" x14ac:dyDescent="0.3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4.25" customHeight="1" x14ac:dyDescent="0.3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4.25" customHeight="1" x14ac:dyDescent="0.3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4.25" customHeight="1" x14ac:dyDescent="0.3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4.25" customHeight="1" x14ac:dyDescent="0.3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4.25" customHeight="1" x14ac:dyDescent="0.3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4.25" customHeight="1" x14ac:dyDescent="0.3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4.25" customHeight="1" x14ac:dyDescent="0.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4.25" customHeight="1" x14ac:dyDescent="0.3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4.25" customHeight="1" x14ac:dyDescent="0.3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4.25" customHeight="1" x14ac:dyDescent="0.3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4.25" customHeight="1" x14ac:dyDescent="0.3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4.25" customHeight="1" x14ac:dyDescent="0.3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4.25" customHeight="1" x14ac:dyDescent="0.3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4.25" customHeight="1" x14ac:dyDescent="0.3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4.25" customHeight="1" x14ac:dyDescent="0.3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4.25" customHeight="1" x14ac:dyDescent="0.3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4.25" customHeight="1" x14ac:dyDescent="0.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4.25" customHeight="1" x14ac:dyDescent="0.3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4.25" customHeight="1" x14ac:dyDescent="0.3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4.25" customHeight="1" x14ac:dyDescent="0.3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4.25" customHeight="1" x14ac:dyDescent="0.3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4.25" customHeight="1" x14ac:dyDescent="0.3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4.25" customHeight="1" x14ac:dyDescent="0.3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4.25" customHeight="1" x14ac:dyDescent="0.3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4.25" customHeight="1" x14ac:dyDescent="0.3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4.25" customHeight="1" x14ac:dyDescent="0.3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4.25" customHeight="1" x14ac:dyDescent="0.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4.25" customHeight="1" x14ac:dyDescent="0.3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4.25" customHeight="1" x14ac:dyDescent="0.3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4.25" customHeight="1" x14ac:dyDescent="0.3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4.25" customHeight="1" x14ac:dyDescent="0.3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4.25" customHeight="1" x14ac:dyDescent="0.3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4.25" customHeight="1" x14ac:dyDescent="0.3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4.25" customHeight="1" x14ac:dyDescent="0.3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4.25" customHeight="1" x14ac:dyDescent="0.3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4.25" customHeight="1" x14ac:dyDescent="0.3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4.25" customHeight="1" x14ac:dyDescent="0.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4.25" customHeight="1" x14ac:dyDescent="0.3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4.25" customHeight="1" x14ac:dyDescent="0.3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4.25" customHeight="1" x14ac:dyDescent="0.3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4.25" customHeight="1" x14ac:dyDescent="0.3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4.25" customHeight="1" x14ac:dyDescent="0.3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4.25" customHeight="1" x14ac:dyDescent="0.3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4.25" customHeight="1" x14ac:dyDescent="0.3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4.25" customHeight="1" x14ac:dyDescent="0.3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4.25" customHeight="1" x14ac:dyDescent="0.3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4.25" customHeight="1" x14ac:dyDescent="0.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4.25" customHeight="1" x14ac:dyDescent="0.3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4.25" customHeight="1" x14ac:dyDescent="0.3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4.25" customHeight="1" x14ac:dyDescent="0.3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4.25" customHeight="1" x14ac:dyDescent="0.3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4.25" customHeight="1" x14ac:dyDescent="0.3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4.25" customHeight="1" x14ac:dyDescent="0.3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4.25" customHeight="1" x14ac:dyDescent="0.3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4.25" customHeight="1" x14ac:dyDescent="0.3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4.25" customHeight="1" x14ac:dyDescent="0.3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4.25" customHeight="1" x14ac:dyDescent="0.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4.25" customHeight="1" x14ac:dyDescent="0.3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4.25" customHeight="1" x14ac:dyDescent="0.3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4.25" customHeight="1" x14ac:dyDescent="0.3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4.25" customHeight="1" x14ac:dyDescent="0.3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4.25" customHeight="1" x14ac:dyDescent="0.3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4.25" customHeight="1" x14ac:dyDescent="0.3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4.25" customHeight="1" x14ac:dyDescent="0.3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4.25" customHeight="1" x14ac:dyDescent="0.3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4.25" customHeight="1" x14ac:dyDescent="0.3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4.25" customHeight="1" x14ac:dyDescent="0.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4.25" customHeight="1" x14ac:dyDescent="0.3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4.25" customHeight="1" x14ac:dyDescent="0.3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4.25" customHeight="1" x14ac:dyDescent="0.3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4.25" customHeight="1" x14ac:dyDescent="0.3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4.25" customHeight="1" x14ac:dyDescent="0.3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4.25" customHeight="1" x14ac:dyDescent="0.3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4.25" customHeight="1" x14ac:dyDescent="0.3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4.25" customHeight="1" x14ac:dyDescent="0.3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4.25" customHeight="1" x14ac:dyDescent="0.3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4.25" customHeight="1" x14ac:dyDescent="0.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4.25" customHeight="1" x14ac:dyDescent="0.3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4.25" customHeight="1" x14ac:dyDescent="0.3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4.25" customHeight="1" x14ac:dyDescent="0.3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4.25" customHeight="1" x14ac:dyDescent="0.3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4.25" customHeight="1" x14ac:dyDescent="0.3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4.25" customHeight="1" x14ac:dyDescent="0.3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4.25" customHeight="1" x14ac:dyDescent="0.3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4.25" customHeight="1" x14ac:dyDescent="0.3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4.25" customHeight="1" x14ac:dyDescent="0.3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4.25" customHeight="1" x14ac:dyDescent="0.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4.25" customHeight="1" x14ac:dyDescent="0.3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4.25" customHeight="1" x14ac:dyDescent="0.3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4.25" customHeight="1" x14ac:dyDescent="0.3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4.25" customHeight="1" x14ac:dyDescent="0.3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4.25" customHeight="1" x14ac:dyDescent="0.3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4.25" customHeight="1" x14ac:dyDescent="0.3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4.25" customHeight="1" x14ac:dyDescent="0.3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4.25" customHeight="1" x14ac:dyDescent="0.3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4.25" customHeight="1" x14ac:dyDescent="0.3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4.25" customHeight="1" x14ac:dyDescent="0.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4.25" customHeight="1" x14ac:dyDescent="0.3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4.25" customHeight="1" x14ac:dyDescent="0.3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4.25" customHeight="1" x14ac:dyDescent="0.3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4.25" customHeight="1" x14ac:dyDescent="0.3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4.25" customHeight="1" x14ac:dyDescent="0.3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4.25" customHeight="1" x14ac:dyDescent="0.3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4.25" customHeight="1" x14ac:dyDescent="0.3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4.25" customHeight="1" x14ac:dyDescent="0.3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4.25" customHeight="1" x14ac:dyDescent="0.3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4.25" customHeight="1" x14ac:dyDescent="0.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4.25" customHeight="1" x14ac:dyDescent="0.3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4.25" customHeight="1" x14ac:dyDescent="0.3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4.25" customHeight="1" x14ac:dyDescent="0.3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4.25" customHeight="1" x14ac:dyDescent="0.3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4.25" customHeight="1" x14ac:dyDescent="0.3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4.25" customHeight="1" x14ac:dyDescent="0.3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4.25" customHeight="1" x14ac:dyDescent="0.3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4.25" customHeight="1" x14ac:dyDescent="0.3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4.25" customHeight="1" x14ac:dyDescent="0.3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4.25" customHeight="1" x14ac:dyDescent="0.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4.25" customHeight="1" x14ac:dyDescent="0.3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4.25" customHeight="1" x14ac:dyDescent="0.3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4.25" customHeight="1" x14ac:dyDescent="0.3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4.25" customHeight="1" x14ac:dyDescent="0.3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4.25" customHeight="1" x14ac:dyDescent="0.3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4.25" customHeight="1" x14ac:dyDescent="0.3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4.25" customHeight="1" x14ac:dyDescent="0.3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4.25" customHeight="1" x14ac:dyDescent="0.3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4.25" customHeight="1" x14ac:dyDescent="0.3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4.25" customHeight="1" x14ac:dyDescent="0.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4.25" customHeight="1" x14ac:dyDescent="0.3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4.25" customHeight="1" x14ac:dyDescent="0.3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4.25" customHeight="1" x14ac:dyDescent="0.3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4.25" customHeight="1" x14ac:dyDescent="0.3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4.25" customHeight="1" x14ac:dyDescent="0.3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4.25" customHeight="1" x14ac:dyDescent="0.3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4.25" customHeight="1" x14ac:dyDescent="0.3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4.25" customHeight="1" x14ac:dyDescent="0.3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4.25" customHeight="1" x14ac:dyDescent="0.3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4.25" customHeight="1" x14ac:dyDescent="0.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4.25" customHeight="1" x14ac:dyDescent="0.3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4.25" customHeight="1" x14ac:dyDescent="0.3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4.25" customHeight="1" x14ac:dyDescent="0.3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4.25" customHeight="1" x14ac:dyDescent="0.3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4.25" customHeight="1" x14ac:dyDescent="0.3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4.25" customHeight="1" x14ac:dyDescent="0.3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4.25" customHeight="1" x14ac:dyDescent="0.3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4.25" customHeight="1" x14ac:dyDescent="0.3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4.25" customHeight="1" x14ac:dyDescent="0.3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4.25" customHeight="1" x14ac:dyDescent="0.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4.25" customHeight="1" x14ac:dyDescent="0.3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4.25" customHeight="1" x14ac:dyDescent="0.3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4.25" customHeight="1" x14ac:dyDescent="0.3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4.25" customHeight="1" x14ac:dyDescent="0.3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4.25" customHeight="1" x14ac:dyDescent="0.3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4.25" customHeight="1" x14ac:dyDescent="0.3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4.25" customHeight="1" x14ac:dyDescent="0.3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4.25" customHeight="1" x14ac:dyDescent="0.3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4.25" customHeight="1" x14ac:dyDescent="0.3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4.25" customHeight="1" x14ac:dyDescent="0.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4.25" customHeight="1" x14ac:dyDescent="0.3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4.25" customHeight="1" x14ac:dyDescent="0.3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4.25" customHeight="1" x14ac:dyDescent="0.3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4.25" customHeight="1" x14ac:dyDescent="0.3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4.25" customHeight="1" x14ac:dyDescent="0.3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4.25" customHeight="1" x14ac:dyDescent="0.3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4.25" customHeight="1" x14ac:dyDescent="0.3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4.25" customHeight="1" x14ac:dyDescent="0.3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4.25" customHeight="1" x14ac:dyDescent="0.3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4.25" customHeight="1" x14ac:dyDescent="0.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4.25" customHeight="1" x14ac:dyDescent="0.3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4.25" customHeight="1" x14ac:dyDescent="0.3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4.25" customHeight="1" x14ac:dyDescent="0.3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4.25" customHeight="1" x14ac:dyDescent="0.3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4.25" customHeight="1" x14ac:dyDescent="0.3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4.25" customHeight="1" x14ac:dyDescent="0.3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4.25" customHeight="1" x14ac:dyDescent="0.3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4.25" customHeight="1" x14ac:dyDescent="0.3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4.25" customHeight="1" x14ac:dyDescent="0.3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4.25" customHeight="1" x14ac:dyDescent="0.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4.25" customHeight="1" x14ac:dyDescent="0.3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4.25" customHeight="1" x14ac:dyDescent="0.3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4.25" customHeight="1" x14ac:dyDescent="0.3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4.25" customHeight="1" x14ac:dyDescent="0.3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4.25" customHeight="1" x14ac:dyDescent="0.3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4.25" customHeight="1" x14ac:dyDescent="0.3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4.25" customHeight="1" x14ac:dyDescent="0.3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4.25" customHeight="1" x14ac:dyDescent="0.3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4.25" customHeight="1" x14ac:dyDescent="0.3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4.25" customHeight="1" x14ac:dyDescent="0.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4.25" customHeight="1" x14ac:dyDescent="0.3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4.25" customHeight="1" x14ac:dyDescent="0.3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4.25" customHeight="1" x14ac:dyDescent="0.3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4.25" customHeight="1" x14ac:dyDescent="0.3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4.25" customHeight="1" x14ac:dyDescent="0.3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4.25" customHeight="1" x14ac:dyDescent="0.3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4.25" customHeight="1" x14ac:dyDescent="0.3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4.25" customHeight="1" x14ac:dyDescent="0.3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4.25" customHeight="1" x14ac:dyDescent="0.3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4.25" customHeight="1" x14ac:dyDescent="0.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4.25" customHeight="1" x14ac:dyDescent="0.3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4.25" customHeight="1" x14ac:dyDescent="0.3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4.25" customHeight="1" x14ac:dyDescent="0.3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4.25" customHeight="1" x14ac:dyDescent="0.3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4.25" customHeight="1" x14ac:dyDescent="0.3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4.25" customHeight="1" x14ac:dyDescent="0.3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4.25" customHeight="1" x14ac:dyDescent="0.3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4.25" customHeight="1" x14ac:dyDescent="0.3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4.25" customHeight="1" x14ac:dyDescent="0.3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4.25" customHeight="1" x14ac:dyDescent="0.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4.25" customHeight="1" x14ac:dyDescent="0.3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4.25" customHeight="1" x14ac:dyDescent="0.3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4.25" customHeight="1" x14ac:dyDescent="0.3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4.25" customHeight="1" x14ac:dyDescent="0.3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4.25" customHeight="1" x14ac:dyDescent="0.3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4.25" customHeight="1" x14ac:dyDescent="0.3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4.25" customHeight="1" x14ac:dyDescent="0.3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4.25" customHeight="1" x14ac:dyDescent="0.3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4.25" customHeight="1" x14ac:dyDescent="0.3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4.25" customHeight="1" x14ac:dyDescent="0.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4.25" customHeight="1" x14ac:dyDescent="0.3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4.25" customHeight="1" x14ac:dyDescent="0.3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4.25" customHeight="1" x14ac:dyDescent="0.3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4.25" customHeight="1" x14ac:dyDescent="0.3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4.25" customHeight="1" x14ac:dyDescent="0.3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4.25" customHeight="1" x14ac:dyDescent="0.3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4.25" customHeight="1" x14ac:dyDescent="0.3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4.25" customHeight="1" x14ac:dyDescent="0.3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4.25" customHeight="1" x14ac:dyDescent="0.3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4.25" customHeight="1" x14ac:dyDescent="0.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4.25" customHeight="1" x14ac:dyDescent="0.3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4.25" customHeight="1" x14ac:dyDescent="0.3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4.25" customHeight="1" x14ac:dyDescent="0.3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4.25" customHeight="1" x14ac:dyDescent="0.3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4.25" customHeight="1" x14ac:dyDescent="0.3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4.25" customHeight="1" x14ac:dyDescent="0.3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4.25" customHeight="1" x14ac:dyDescent="0.3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4.25" customHeight="1" x14ac:dyDescent="0.3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4.25" customHeight="1" x14ac:dyDescent="0.3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4.25" customHeight="1" x14ac:dyDescent="0.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4.25" customHeight="1" x14ac:dyDescent="0.3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4.25" customHeight="1" x14ac:dyDescent="0.3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4.25" customHeight="1" x14ac:dyDescent="0.3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4.25" customHeight="1" x14ac:dyDescent="0.3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4.25" customHeight="1" x14ac:dyDescent="0.3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4.25" customHeight="1" x14ac:dyDescent="0.3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4.25" customHeight="1" x14ac:dyDescent="0.3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4.25" customHeight="1" x14ac:dyDescent="0.3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4.25" customHeight="1" x14ac:dyDescent="0.3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4.25" customHeight="1" x14ac:dyDescent="0.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4.25" customHeight="1" x14ac:dyDescent="0.3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4.25" customHeight="1" x14ac:dyDescent="0.3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4.25" customHeight="1" x14ac:dyDescent="0.3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4.25" customHeight="1" x14ac:dyDescent="0.3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4.25" customHeight="1" x14ac:dyDescent="0.3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4.25" customHeight="1" x14ac:dyDescent="0.3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4.25" customHeight="1" x14ac:dyDescent="0.3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4.25" customHeight="1" x14ac:dyDescent="0.3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4.25" customHeight="1" x14ac:dyDescent="0.3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4.25" customHeight="1" x14ac:dyDescent="0.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4.25" customHeight="1" x14ac:dyDescent="0.3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4.25" customHeight="1" x14ac:dyDescent="0.3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4.25" customHeight="1" x14ac:dyDescent="0.3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4.25" customHeight="1" x14ac:dyDescent="0.3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4.25" customHeight="1" x14ac:dyDescent="0.3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4.25" customHeight="1" x14ac:dyDescent="0.3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4.25" customHeight="1" x14ac:dyDescent="0.3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4.25" customHeight="1" x14ac:dyDescent="0.3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4.25" customHeight="1" x14ac:dyDescent="0.3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4.25" customHeight="1" x14ac:dyDescent="0.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4.25" customHeight="1" x14ac:dyDescent="0.3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4.25" customHeight="1" x14ac:dyDescent="0.3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4.25" customHeight="1" x14ac:dyDescent="0.3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4.25" customHeight="1" x14ac:dyDescent="0.3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4.25" customHeight="1" x14ac:dyDescent="0.3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4.25" customHeight="1" x14ac:dyDescent="0.3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4.25" customHeight="1" x14ac:dyDescent="0.3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4.25" customHeight="1" x14ac:dyDescent="0.3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4.25" customHeight="1" x14ac:dyDescent="0.3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4.25" customHeight="1" x14ac:dyDescent="0.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4.25" customHeight="1" x14ac:dyDescent="0.3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4.25" customHeight="1" x14ac:dyDescent="0.3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4.25" customHeight="1" x14ac:dyDescent="0.3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4.25" customHeight="1" x14ac:dyDescent="0.3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4.25" customHeight="1" x14ac:dyDescent="0.3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4.25" customHeight="1" x14ac:dyDescent="0.3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4.25" customHeight="1" x14ac:dyDescent="0.3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4.25" customHeight="1" x14ac:dyDescent="0.3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4.25" customHeight="1" x14ac:dyDescent="0.3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4.25" customHeight="1" x14ac:dyDescent="0.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4.25" customHeight="1" x14ac:dyDescent="0.3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4.25" customHeight="1" x14ac:dyDescent="0.3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4.25" customHeight="1" x14ac:dyDescent="0.3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4.25" customHeight="1" x14ac:dyDescent="0.3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4.25" customHeight="1" x14ac:dyDescent="0.3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4.25" customHeight="1" x14ac:dyDescent="0.3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4.25" customHeight="1" x14ac:dyDescent="0.3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4.25" customHeight="1" x14ac:dyDescent="0.3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4.25" customHeight="1" x14ac:dyDescent="0.3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4.25" customHeight="1" x14ac:dyDescent="0.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4.25" customHeight="1" x14ac:dyDescent="0.3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4.25" customHeight="1" x14ac:dyDescent="0.3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4.25" customHeight="1" x14ac:dyDescent="0.3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4.25" customHeight="1" x14ac:dyDescent="0.3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4.25" customHeight="1" x14ac:dyDescent="0.3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4.25" customHeight="1" x14ac:dyDescent="0.3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4.25" customHeight="1" x14ac:dyDescent="0.3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4.25" customHeight="1" x14ac:dyDescent="0.3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4.25" customHeight="1" x14ac:dyDescent="0.3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4.25" customHeight="1" x14ac:dyDescent="0.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4.25" customHeight="1" x14ac:dyDescent="0.3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4.25" customHeight="1" x14ac:dyDescent="0.3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4.25" customHeight="1" x14ac:dyDescent="0.3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4.25" customHeight="1" x14ac:dyDescent="0.3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4.25" customHeight="1" x14ac:dyDescent="0.3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4.25" customHeight="1" x14ac:dyDescent="0.3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4.25" customHeight="1" x14ac:dyDescent="0.3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4.25" customHeight="1" x14ac:dyDescent="0.3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4.25" customHeight="1" x14ac:dyDescent="0.3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4.25" customHeight="1" x14ac:dyDescent="0.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4.25" customHeight="1" x14ac:dyDescent="0.3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4.25" customHeight="1" x14ac:dyDescent="0.3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4.25" customHeight="1" x14ac:dyDescent="0.3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4.25" customHeight="1" x14ac:dyDescent="0.3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4.25" customHeight="1" x14ac:dyDescent="0.3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4.25" customHeight="1" x14ac:dyDescent="0.3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4.25" customHeight="1" x14ac:dyDescent="0.3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4.25" customHeight="1" x14ac:dyDescent="0.3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4.25" customHeight="1" x14ac:dyDescent="0.3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4.25" customHeight="1" x14ac:dyDescent="0.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4.25" customHeight="1" x14ac:dyDescent="0.3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4.25" customHeight="1" x14ac:dyDescent="0.3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4.25" customHeight="1" x14ac:dyDescent="0.3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4.25" customHeight="1" x14ac:dyDescent="0.3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4.25" customHeight="1" x14ac:dyDescent="0.3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4.25" customHeight="1" x14ac:dyDescent="0.3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4.25" customHeight="1" x14ac:dyDescent="0.3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4.25" customHeight="1" x14ac:dyDescent="0.3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4.25" customHeight="1" x14ac:dyDescent="0.3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4.25" customHeight="1" x14ac:dyDescent="0.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4.25" customHeight="1" x14ac:dyDescent="0.3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4.25" customHeight="1" x14ac:dyDescent="0.3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4.25" customHeight="1" x14ac:dyDescent="0.3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4.25" customHeight="1" x14ac:dyDescent="0.3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4.25" customHeight="1" x14ac:dyDescent="0.3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4.25" customHeight="1" x14ac:dyDescent="0.3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4.25" customHeight="1" x14ac:dyDescent="0.3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4.25" customHeight="1" x14ac:dyDescent="0.3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4.25" customHeight="1" x14ac:dyDescent="0.3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4.25" customHeight="1" x14ac:dyDescent="0.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4.25" customHeight="1" x14ac:dyDescent="0.3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4.25" customHeight="1" x14ac:dyDescent="0.3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4.25" customHeight="1" x14ac:dyDescent="0.3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4.25" customHeight="1" x14ac:dyDescent="0.3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4.25" customHeight="1" x14ac:dyDescent="0.3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4.25" customHeight="1" x14ac:dyDescent="0.3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4.25" customHeight="1" x14ac:dyDescent="0.3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4.25" customHeight="1" x14ac:dyDescent="0.3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4.25" customHeight="1" x14ac:dyDescent="0.3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4.25" customHeight="1" x14ac:dyDescent="0.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4.25" customHeight="1" x14ac:dyDescent="0.3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4.25" customHeight="1" x14ac:dyDescent="0.3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4.25" customHeight="1" x14ac:dyDescent="0.3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4.25" customHeight="1" x14ac:dyDescent="0.3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4.25" customHeight="1" x14ac:dyDescent="0.3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4.25" customHeight="1" x14ac:dyDescent="0.3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4.25" customHeight="1" x14ac:dyDescent="0.3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4.25" customHeight="1" x14ac:dyDescent="0.3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4.25" customHeight="1" x14ac:dyDescent="0.3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4.25" customHeight="1" x14ac:dyDescent="0.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4.25" customHeight="1" x14ac:dyDescent="0.3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4.25" customHeight="1" x14ac:dyDescent="0.3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4.25" customHeight="1" x14ac:dyDescent="0.3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4.25" customHeight="1" x14ac:dyDescent="0.3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4.25" customHeight="1" x14ac:dyDescent="0.3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4.25" customHeight="1" x14ac:dyDescent="0.3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4.25" customHeight="1" x14ac:dyDescent="0.3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4.25" customHeight="1" x14ac:dyDescent="0.3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4.25" customHeight="1" x14ac:dyDescent="0.3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4.25" customHeight="1" x14ac:dyDescent="0.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4.25" customHeight="1" x14ac:dyDescent="0.3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4.25" customHeight="1" x14ac:dyDescent="0.3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4.25" customHeight="1" x14ac:dyDescent="0.3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4.25" customHeight="1" x14ac:dyDescent="0.3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4.25" customHeight="1" x14ac:dyDescent="0.3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4.25" customHeight="1" x14ac:dyDescent="0.3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4.25" customHeight="1" x14ac:dyDescent="0.3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4.25" customHeight="1" x14ac:dyDescent="0.3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4.25" customHeight="1" x14ac:dyDescent="0.3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4.25" customHeight="1" x14ac:dyDescent="0.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4.25" customHeight="1" x14ac:dyDescent="0.3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4.25" customHeight="1" x14ac:dyDescent="0.3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4.25" customHeight="1" x14ac:dyDescent="0.3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4.25" customHeight="1" x14ac:dyDescent="0.3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4.25" customHeight="1" x14ac:dyDescent="0.3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4.25" customHeight="1" x14ac:dyDescent="0.3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4.25" customHeight="1" x14ac:dyDescent="0.3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4.25" customHeight="1" x14ac:dyDescent="0.3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4.25" customHeight="1" x14ac:dyDescent="0.3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4.25" customHeight="1" x14ac:dyDescent="0.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4.25" customHeight="1" x14ac:dyDescent="0.3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4.25" customHeight="1" x14ac:dyDescent="0.3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4.25" customHeight="1" x14ac:dyDescent="0.3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4.25" customHeight="1" x14ac:dyDescent="0.3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4.25" customHeight="1" x14ac:dyDescent="0.3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4.25" customHeight="1" x14ac:dyDescent="0.3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4.25" customHeight="1" x14ac:dyDescent="0.3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4.25" customHeight="1" x14ac:dyDescent="0.3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4.25" customHeight="1" x14ac:dyDescent="0.3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4.25" customHeight="1" x14ac:dyDescent="0.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4.25" customHeight="1" x14ac:dyDescent="0.3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4.25" customHeight="1" x14ac:dyDescent="0.3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4.25" customHeight="1" x14ac:dyDescent="0.3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4.25" customHeight="1" x14ac:dyDescent="0.3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4.25" customHeight="1" x14ac:dyDescent="0.3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4.25" customHeight="1" x14ac:dyDescent="0.3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4.25" customHeight="1" x14ac:dyDescent="0.3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4.25" customHeight="1" x14ac:dyDescent="0.3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4.25" customHeight="1" x14ac:dyDescent="0.3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4.25" customHeight="1" x14ac:dyDescent="0.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4.25" customHeight="1" x14ac:dyDescent="0.3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4.25" customHeight="1" x14ac:dyDescent="0.3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4.25" customHeight="1" x14ac:dyDescent="0.3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4.25" customHeight="1" x14ac:dyDescent="0.3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4.25" customHeight="1" x14ac:dyDescent="0.3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4.25" customHeight="1" x14ac:dyDescent="0.3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4.25" customHeight="1" x14ac:dyDescent="0.3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4.25" customHeight="1" x14ac:dyDescent="0.3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4.25" customHeight="1" x14ac:dyDescent="0.3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4.25" customHeight="1" x14ac:dyDescent="0.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4.25" customHeight="1" x14ac:dyDescent="0.3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4.25" customHeight="1" x14ac:dyDescent="0.3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4.25" customHeight="1" x14ac:dyDescent="0.3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4.25" customHeight="1" x14ac:dyDescent="0.3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4.25" customHeight="1" x14ac:dyDescent="0.3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4.25" customHeight="1" x14ac:dyDescent="0.3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4.25" customHeight="1" x14ac:dyDescent="0.3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4.25" customHeight="1" x14ac:dyDescent="0.3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4.25" customHeight="1" x14ac:dyDescent="0.3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4.25" customHeight="1" x14ac:dyDescent="0.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4.25" customHeight="1" x14ac:dyDescent="0.3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4.25" customHeight="1" x14ac:dyDescent="0.3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4.25" customHeight="1" x14ac:dyDescent="0.3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4.25" customHeight="1" x14ac:dyDescent="0.3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4.25" customHeight="1" x14ac:dyDescent="0.3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4.25" customHeight="1" x14ac:dyDescent="0.3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4.25" customHeight="1" x14ac:dyDescent="0.3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4.25" customHeight="1" x14ac:dyDescent="0.3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4.25" customHeight="1" x14ac:dyDescent="0.3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4.25" customHeight="1" x14ac:dyDescent="0.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4.25" customHeight="1" x14ac:dyDescent="0.3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4.25" customHeight="1" x14ac:dyDescent="0.3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4.25" customHeight="1" x14ac:dyDescent="0.3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4.25" customHeight="1" x14ac:dyDescent="0.3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4.25" customHeight="1" x14ac:dyDescent="0.3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4.25" customHeight="1" x14ac:dyDescent="0.3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4.25" customHeight="1" x14ac:dyDescent="0.3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4.25" customHeight="1" x14ac:dyDescent="0.3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4.25" customHeight="1" x14ac:dyDescent="0.3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4.25" customHeight="1" x14ac:dyDescent="0.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4.25" customHeight="1" x14ac:dyDescent="0.3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4.25" customHeight="1" x14ac:dyDescent="0.3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4.25" customHeight="1" x14ac:dyDescent="0.3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4.25" customHeight="1" x14ac:dyDescent="0.3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4.25" customHeight="1" x14ac:dyDescent="0.3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4.25" customHeight="1" x14ac:dyDescent="0.3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4.25" customHeight="1" x14ac:dyDescent="0.3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4.25" customHeight="1" x14ac:dyDescent="0.3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4.25" customHeight="1" x14ac:dyDescent="0.3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4.25" customHeight="1" x14ac:dyDescent="0.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4.25" customHeight="1" x14ac:dyDescent="0.3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4.25" customHeight="1" x14ac:dyDescent="0.3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4.25" customHeight="1" x14ac:dyDescent="0.3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4.25" customHeight="1" x14ac:dyDescent="0.3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4.25" customHeight="1" x14ac:dyDescent="0.3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4.25" customHeight="1" x14ac:dyDescent="0.3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4.25" customHeight="1" x14ac:dyDescent="0.3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4.25" customHeight="1" x14ac:dyDescent="0.3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4.25" customHeight="1" x14ac:dyDescent="0.3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4.25" customHeight="1" x14ac:dyDescent="0.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4.25" customHeight="1" x14ac:dyDescent="0.3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4.25" customHeight="1" x14ac:dyDescent="0.3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4.25" customHeight="1" x14ac:dyDescent="0.3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4.25" customHeight="1" x14ac:dyDescent="0.3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4.25" customHeight="1" x14ac:dyDescent="0.3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4.25" customHeight="1" x14ac:dyDescent="0.3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4.25" customHeight="1" x14ac:dyDescent="0.3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4.25" customHeight="1" x14ac:dyDescent="0.3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4.25" customHeight="1" x14ac:dyDescent="0.3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4.25" customHeight="1" x14ac:dyDescent="0.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4.25" customHeight="1" x14ac:dyDescent="0.3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4.25" customHeight="1" x14ac:dyDescent="0.3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4.25" customHeight="1" x14ac:dyDescent="0.3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4.25" customHeight="1" x14ac:dyDescent="0.3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4.25" customHeight="1" x14ac:dyDescent="0.3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4.25" customHeight="1" x14ac:dyDescent="0.3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4.25" customHeight="1" x14ac:dyDescent="0.3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4.25" customHeight="1" x14ac:dyDescent="0.3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4.25" customHeight="1" x14ac:dyDescent="0.3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4.25" customHeight="1" x14ac:dyDescent="0.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4.25" customHeight="1" x14ac:dyDescent="0.3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4.25" customHeight="1" x14ac:dyDescent="0.3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4.25" customHeight="1" x14ac:dyDescent="0.3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4.25" customHeight="1" x14ac:dyDescent="0.3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4.25" customHeight="1" x14ac:dyDescent="0.3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4.25" customHeight="1" x14ac:dyDescent="0.3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4.25" customHeight="1" x14ac:dyDescent="0.3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4.25" customHeight="1" x14ac:dyDescent="0.3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4.25" customHeight="1" x14ac:dyDescent="0.3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4.25" customHeight="1" x14ac:dyDescent="0.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4.25" customHeight="1" x14ac:dyDescent="0.3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4.25" customHeight="1" x14ac:dyDescent="0.3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4.25" customHeight="1" x14ac:dyDescent="0.3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4.25" customHeight="1" x14ac:dyDescent="0.3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4.25" customHeight="1" x14ac:dyDescent="0.3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4.25" customHeight="1" x14ac:dyDescent="0.3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4.25" customHeight="1" x14ac:dyDescent="0.3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4.25" customHeight="1" x14ac:dyDescent="0.3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4.25" customHeight="1" x14ac:dyDescent="0.3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4.25" customHeight="1" x14ac:dyDescent="0.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4.25" customHeight="1" x14ac:dyDescent="0.3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4.25" customHeight="1" x14ac:dyDescent="0.3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4.25" customHeight="1" x14ac:dyDescent="0.3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4.25" customHeight="1" x14ac:dyDescent="0.3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4.25" customHeight="1" x14ac:dyDescent="0.3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4.25" customHeight="1" x14ac:dyDescent="0.3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4.25" customHeight="1" x14ac:dyDescent="0.3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4.25" customHeight="1" x14ac:dyDescent="0.3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4.25" customHeight="1" x14ac:dyDescent="0.3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4.25" customHeight="1" x14ac:dyDescent="0.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4.25" customHeight="1" x14ac:dyDescent="0.3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4.25" customHeight="1" x14ac:dyDescent="0.3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4.25" customHeight="1" x14ac:dyDescent="0.3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4.25" customHeight="1" x14ac:dyDescent="0.3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4.25" customHeight="1" x14ac:dyDescent="0.3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4.25" customHeight="1" x14ac:dyDescent="0.3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4.25" customHeight="1" x14ac:dyDescent="0.3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4.25" customHeight="1" x14ac:dyDescent="0.3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4.25" customHeight="1" x14ac:dyDescent="0.3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4.25" customHeight="1" x14ac:dyDescent="0.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4.25" customHeight="1" x14ac:dyDescent="0.3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4.25" customHeight="1" x14ac:dyDescent="0.3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4.25" customHeight="1" x14ac:dyDescent="0.3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4.25" customHeight="1" x14ac:dyDescent="0.3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4.25" customHeight="1" x14ac:dyDescent="0.3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4.25" customHeight="1" x14ac:dyDescent="0.3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4.25" customHeight="1" x14ac:dyDescent="0.3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4.25" customHeight="1" x14ac:dyDescent="0.3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4.25" customHeight="1" x14ac:dyDescent="0.3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4.25" customHeight="1" x14ac:dyDescent="0.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4.25" customHeight="1" x14ac:dyDescent="0.3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4.25" customHeight="1" x14ac:dyDescent="0.3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4.25" customHeight="1" x14ac:dyDescent="0.3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4.25" customHeight="1" x14ac:dyDescent="0.3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4.25" customHeight="1" x14ac:dyDescent="0.3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4.25" customHeight="1" x14ac:dyDescent="0.3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4.25" customHeight="1" x14ac:dyDescent="0.3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4.25" customHeight="1" x14ac:dyDescent="0.3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4.25" customHeight="1" x14ac:dyDescent="0.3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4.25" customHeight="1" x14ac:dyDescent="0.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4.25" customHeight="1" x14ac:dyDescent="0.3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4.25" customHeight="1" x14ac:dyDescent="0.3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4.25" customHeight="1" x14ac:dyDescent="0.3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4.25" customHeight="1" x14ac:dyDescent="0.3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4.25" customHeight="1" x14ac:dyDescent="0.3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4.25" customHeight="1" x14ac:dyDescent="0.3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4.25" customHeight="1" x14ac:dyDescent="0.3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4.25" customHeight="1" x14ac:dyDescent="0.3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4.25" customHeight="1" x14ac:dyDescent="0.3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4.25" customHeight="1" x14ac:dyDescent="0.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4.25" customHeight="1" x14ac:dyDescent="0.3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4.25" customHeight="1" x14ac:dyDescent="0.3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4.25" customHeight="1" x14ac:dyDescent="0.3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4.25" customHeight="1" x14ac:dyDescent="0.3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4.25" customHeight="1" x14ac:dyDescent="0.3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4.25" customHeight="1" x14ac:dyDescent="0.3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4.25" customHeight="1" x14ac:dyDescent="0.3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4.25" customHeight="1" x14ac:dyDescent="0.3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4.25" customHeight="1" x14ac:dyDescent="0.3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4.25" customHeight="1" x14ac:dyDescent="0.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4.25" customHeight="1" x14ac:dyDescent="0.3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4.25" customHeight="1" x14ac:dyDescent="0.3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4.25" customHeight="1" x14ac:dyDescent="0.3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4.25" customHeight="1" x14ac:dyDescent="0.3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4.25" customHeight="1" x14ac:dyDescent="0.3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4.25" customHeight="1" x14ac:dyDescent="0.3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4.25" customHeight="1" x14ac:dyDescent="0.3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4.25" customHeight="1" x14ac:dyDescent="0.3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4.25" customHeight="1" x14ac:dyDescent="0.3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4.25" customHeight="1" x14ac:dyDescent="0.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4.25" customHeight="1" x14ac:dyDescent="0.3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4.25" customHeight="1" x14ac:dyDescent="0.3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4.25" customHeight="1" x14ac:dyDescent="0.3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4.25" customHeight="1" x14ac:dyDescent="0.3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4.25" customHeight="1" x14ac:dyDescent="0.3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4.25" customHeight="1" x14ac:dyDescent="0.3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4.25" customHeight="1" x14ac:dyDescent="0.3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4.25" customHeight="1" x14ac:dyDescent="0.3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4.25" customHeight="1" x14ac:dyDescent="0.3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4.25" customHeight="1" x14ac:dyDescent="0.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4.25" customHeight="1" x14ac:dyDescent="0.3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4.25" customHeight="1" x14ac:dyDescent="0.3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4.25" customHeight="1" x14ac:dyDescent="0.3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4.25" customHeight="1" x14ac:dyDescent="0.3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4.25" customHeight="1" x14ac:dyDescent="0.3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4.25" customHeight="1" x14ac:dyDescent="0.3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4.25" customHeight="1" x14ac:dyDescent="0.3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4.25" customHeight="1" x14ac:dyDescent="0.3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4.25" customHeight="1" x14ac:dyDescent="0.3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4.25" customHeight="1" x14ac:dyDescent="0.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4.25" customHeight="1" x14ac:dyDescent="0.3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4.25" customHeight="1" x14ac:dyDescent="0.3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4.25" customHeight="1" x14ac:dyDescent="0.3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4.25" customHeight="1" x14ac:dyDescent="0.3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4.25" customHeight="1" x14ac:dyDescent="0.3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4.25" customHeight="1" x14ac:dyDescent="0.3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4.25" customHeight="1" x14ac:dyDescent="0.3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4.25" customHeight="1" x14ac:dyDescent="0.3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4.25" customHeight="1" x14ac:dyDescent="0.3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4.25" customHeight="1" x14ac:dyDescent="0.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4.25" customHeight="1" x14ac:dyDescent="0.3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4.25" customHeight="1" x14ac:dyDescent="0.3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4.25" customHeight="1" x14ac:dyDescent="0.3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4.25" customHeight="1" x14ac:dyDescent="0.3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4.25" customHeight="1" x14ac:dyDescent="0.3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4.25" customHeight="1" x14ac:dyDescent="0.3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4.25" customHeight="1" x14ac:dyDescent="0.3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4.25" customHeight="1" x14ac:dyDescent="0.3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4.25" customHeight="1" x14ac:dyDescent="0.3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4.25" customHeight="1" x14ac:dyDescent="0.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4.25" customHeight="1" x14ac:dyDescent="0.3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4.25" customHeight="1" x14ac:dyDescent="0.3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4.25" customHeight="1" x14ac:dyDescent="0.3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4.25" customHeight="1" x14ac:dyDescent="0.3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4.25" customHeight="1" x14ac:dyDescent="0.3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4.25" customHeight="1" x14ac:dyDescent="0.3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4.25" customHeight="1" x14ac:dyDescent="0.3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4.25" customHeight="1" x14ac:dyDescent="0.3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4.25" customHeight="1" x14ac:dyDescent="0.3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4.25" customHeight="1" x14ac:dyDescent="0.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4.25" customHeight="1" x14ac:dyDescent="0.3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4.25" customHeight="1" x14ac:dyDescent="0.3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4.25" customHeight="1" x14ac:dyDescent="0.3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4.25" customHeight="1" x14ac:dyDescent="0.3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4.25" customHeight="1" x14ac:dyDescent="0.3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4.25" customHeight="1" x14ac:dyDescent="0.3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4.25" customHeight="1" x14ac:dyDescent="0.3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4.25" customHeight="1" x14ac:dyDescent="0.3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4.25" customHeight="1" x14ac:dyDescent="0.3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4.25" customHeight="1" x14ac:dyDescent="0.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4.25" customHeight="1" x14ac:dyDescent="0.3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4.25" customHeight="1" x14ac:dyDescent="0.3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4.25" customHeight="1" x14ac:dyDescent="0.3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4.25" customHeight="1" x14ac:dyDescent="0.3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4.25" customHeight="1" x14ac:dyDescent="0.3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4.25" customHeight="1" x14ac:dyDescent="0.3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4.25" customHeight="1" x14ac:dyDescent="0.3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4.25" customHeight="1" x14ac:dyDescent="0.3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4.25" customHeight="1" x14ac:dyDescent="0.3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4.25" customHeight="1" x14ac:dyDescent="0.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4.25" customHeight="1" x14ac:dyDescent="0.3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4.25" customHeight="1" x14ac:dyDescent="0.3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4.25" customHeight="1" x14ac:dyDescent="0.3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4.25" customHeight="1" x14ac:dyDescent="0.3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4.25" customHeight="1" x14ac:dyDescent="0.3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4.25" customHeight="1" x14ac:dyDescent="0.3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4.25" customHeight="1" x14ac:dyDescent="0.3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4.25" customHeight="1" x14ac:dyDescent="0.3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4.25" customHeight="1" x14ac:dyDescent="0.3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4.25" customHeight="1" x14ac:dyDescent="0.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4.25" customHeight="1" x14ac:dyDescent="0.3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4.25" customHeight="1" x14ac:dyDescent="0.3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4.25" customHeight="1" x14ac:dyDescent="0.3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4.25" customHeight="1" x14ac:dyDescent="0.3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4.25" customHeight="1" x14ac:dyDescent="0.3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4.25" customHeight="1" x14ac:dyDescent="0.3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4.25" customHeight="1" x14ac:dyDescent="0.3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4.25" customHeight="1" x14ac:dyDescent="0.3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4.25" customHeight="1" x14ac:dyDescent="0.3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4.25" customHeight="1" x14ac:dyDescent="0.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4.25" customHeight="1" x14ac:dyDescent="0.3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4.25" customHeight="1" x14ac:dyDescent="0.3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4.25" customHeight="1" x14ac:dyDescent="0.3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4.25" customHeight="1" x14ac:dyDescent="0.3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4.25" customHeight="1" x14ac:dyDescent="0.3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4.25" customHeight="1" x14ac:dyDescent="0.3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4.25" customHeight="1" x14ac:dyDescent="0.3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4.25" customHeight="1" x14ac:dyDescent="0.3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4.25" customHeight="1" x14ac:dyDescent="0.3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4.25" customHeight="1" x14ac:dyDescent="0.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4.25" customHeight="1" x14ac:dyDescent="0.3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4.25" customHeight="1" x14ac:dyDescent="0.3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4.25" customHeight="1" x14ac:dyDescent="0.3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4.25" customHeight="1" x14ac:dyDescent="0.3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4.25" customHeight="1" x14ac:dyDescent="0.3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4.25" customHeight="1" x14ac:dyDescent="0.3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4.25" customHeight="1" x14ac:dyDescent="0.3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4.25" customHeight="1" x14ac:dyDescent="0.3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4.25" customHeight="1" x14ac:dyDescent="0.3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4.25" customHeight="1" x14ac:dyDescent="0.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4.25" customHeight="1" x14ac:dyDescent="0.3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4.25" customHeight="1" x14ac:dyDescent="0.3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4.25" customHeight="1" x14ac:dyDescent="0.3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4.25" customHeight="1" x14ac:dyDescent="0.3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4.25" customHeight="1" x14ac:dyDescent="0.3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4.25" customHeight="1" x14ac:dyDescent="0.3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4.25" customHeight="1" x14ac:dyDescent="0.3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4.25" customHeight="1" x14ac:dyDescent="0.3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4.25" customHeight="1" x14ac:dyDescent="0.3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4.25" customHeight="1" x14ac:dyDescent="0.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4.25" customHeight="1" x14ac:dyDescent="0.3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4.25" customHeight="1" x14ac:dyDescent="0.3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4.25" customHeight="1" x14ac:dyDescent="0.3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4.25" customHeight="1" x14ac:dyDescent="0.3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4.25" customHeight="1" x14ac:dyDescent="0.3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4.25" customHeight="1" x14ac:dyDescent="0.3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4.25" customHeight="1" x14ac:dyDescent="0.3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4.25" customHeight="1" x14ac:dyDescent="0.3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4.25" customHeight="1" x14ac:dyDescent="0.3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4.25" customHeight="1" x14ac:dyDescent="0.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4.25" customHeight="1" x14ac:dyDescent="0.3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4.25" customHeight="1" x14ac:dyDescent="0.3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4.25" customHeight="1" x14ac:dyDescent="0.3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4.25" customHeight="1" x14ac:dyDescent="0.3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4.25" customHeight="1" x14ac:dyDescent="0.3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4.25" customHeight="1" x14ac:dyDescent="0.3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4.25" customHeight="1" x14ac:dyDescent="0.3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4.25" customHeight="1" x14ac:dyDescent="0.3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4.25" customHeight="1" x14ac:dyDescent="0.3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4.25" customHeight="1" x14ac:dyDescent="0.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4.25" customHeight="1" x14ac:dyDescent="0.3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4.25" customHeight="1" x14ac:dyDescent="0.3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4.25" customHeight="1" x14ac:dyDescent="0.3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4.25" customHeight="1" x14ac:dyDescent="0.3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4.25" customHeight="1" x14ac:dyDescent="0.3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4.25" customHeight="1" x14ac:dyDescent="0.3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4.25" customHeight="1" x14ac:dyDescent="0.3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5">
    <mergeCell ref="B2:G2"/>
    <mergeCell ref="C6:E7"/>
    <mergeCell ref="C5:E5"/>
    <mergeCell ref="C4:E4"/>
    <mergeCell ref="B6:B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D1" sqref="D1"/>
    </sheetView>
  </sheetViews>
  <sheetFormatPr defaultColWidth="14.44140625" defaultRowHeight="14.4" x14ac:dyDescent="0.3"/>
  <cols>
    <col min="1" max="1" width="1.5546875" style="124" customWidth="1"/>
    <col min="2" max="2" width="13.44140625" style="124" customWidth="1"/>
    <col min="3" max="3" width="30.33203125" style="124" customWidth="1"/>
    <col min="4" max="4" width="19.5546875" style="124" customWidth="1"/>
    <col min="5" max="5" width="32.109375" style="124" customWidth="1"/>
    <col min="6" max="6" width="35" style="124" customWidth="1"/>
    <col min="7" max="26" width="9.109375" style="124" customWidth="1"/>
    <col min="27" max="16384" width="14.44140625" style="124"/>
  </cols>
  <sheetData>
    <row r="1" spans="1:26" ht="24.6" x14ac:dyDescent="0.4">
      <c r="A1" s="6"/>
      <c r="B1" s="121"/>
      <c r="C1" s="122"/>
      <c r="D1" s="8" t="s">
        <v>24</v>
      </c>
      <c r="E1" s="123"/>
      <c r="F1" s="122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6"/>
      <c r="B2" s="121"/>
      <c r="C2" s="122"/>
      <c r="D2" s="125"/>
      <c r="E2" s="125"/>
      <c r="F2" s="122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6"/>
      <c r="B3" s="126" t="s">
        <v>1</v>
      </c>
      <c r="C3" s="127"/>
      <c r="D3" s="128" t="s">
        <v>2</v>
      </c>
      <c r="E3" s="127"/>
      <c r="F3" s="12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">
      <c r="A4" s="6"/>
      <c r="B4" s="126" t="s">
        <v>5</v>
      </c>
      <c r="C4" s="127"/>
      <c r="D4" s="128" t="s">
        <v>6</v>
      </c>
      <c r="E4" s="127"/>
      <c r="F4" s="129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113" t="s">
        <v>25</v>
      </c>
      <c r="C5" s="129"/>
      <c r="D5" s="112" t="s">
        <v>26</v>
      </c>
      <c r="E5" s="127"/>
      <c r="F5" s="129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">
      <c r="A6" s="6"/>
      <c r="B6" s="130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">
      <c r="A7" s="131"/>
      <c r="B7" s="132"/>
      <c r="C7" s="133"/>
      <c r="D7" s="133"/>
      <c r="E7" s="133"/>
      <c r="F7" s="133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x14ac:dyDescent="0.3">
      <c r="A8" s="134"/>
      <c r="B8" s="135" t="s">
        <v>27</v>
      </c>
      <c r="C8" s="136" t="s">
        <v>28</v>
      </c>
      <c r="D8" s="136" t="s">
        <v>29</v>
      </c>
      <c r="E8" s="137" t="s">
        <v>30</v>
      </c>
      <c r="F8" s="138" t="s">
        <v>31</v>
      </c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26" ht="33" customHeight="1" x14ac:dyDescent="0.3">
      <c r="A9" s="6"/>
      <c r="B9" s="139">
        <v>1</v>
      </c>
      <c r="C9" s="140" t="s">
        <v>32</v>
      </c>
      <c r="D9" s="141" t="s">
        <v>33</v>
      </c>
      <c r="E9" s="142" t="s">
        <v>34</v>
      </c>
      <c r="F9" s="143" t="s">
        <v>35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9.4" customHeight="1" x14ac:dyDescent="0.3">
      <c r="A10" s="6"/>
      <c r="B10" s="139">
        <v>2</v>
      </c>
      <c r="C10" s="140" t="s">
        <v>36</v>
      </c>
      <c r="D10" s="144" t="s">
        <v>37</v>
      </c>
      <c r="E10" s="142" t="s">
        <v>38</v>
      </c>
      <c r="F10" s="143" t="s">
        <v>35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0.6" customHeight="1" x14ac:dyDescent="0.3">
      <c r="A11" s="6"/>
      <c r="B11" s="139">
        <v>3</v>
      </c>
      <c r="C11" s="140" t="s">
        <v>39</v>
      </c>
      <c r="D11" s="144" t="s">
        <v>40</v>
      </c>
      <c r="E11" s="142" t="s">
        <v>41</v>
      </c>
      <c r="F11" s="143" t="s">
        <v>35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6"/>
      <c r="B12" s="139"/>
      <c r="C12" s="145"/>
      <c r="D12" s="142"/>
      <c r="E12" s="142"/>
      <c r="F12" s="14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6"/>
      <c r="B13" s="139"/>
      <c r="C13" s="145"/>
      <c r="D13" s="142"/>
      <c r="E13" s="142"/>
      <c r="F13" s="143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6"/>
      <c r="B14" s="139"/>
      <c r="C14" s="145"/>
      <c r="D14" s="146"/>
      <c r="E14" s="146"/>
      <c r="F14" s="143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3">
      <c r="A15" s="6"/>
      <c r="B15" s="139"/>
      <c r="C15" s="145"/>
      <c r="D15" s="146"/>
      <c r="E15" s="146"/>
      <c r="F15" s="143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3">
      <c r="A16" s="6"/>
      <c r="B16" s="139"/>
      <c r="C16" s="145"/>
      <c r="D16" s="146"/>
      <c r="E16" s="146"/>
      <c r="F16" s="143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3">
      <c r="A17" s="6"/>
      <c r="B17" s="139"/>
      <c r="C17" s="145"/>
      <c r="D17" s="146"/>
      <c r="E17" s="146"/>
      <c r="F17" s="143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3">
      <c r="A18" s="6"/>
      <c r="B18" s="139"/>
      <c r="C18" s="145"/>
      <c r="D18" s="146"/>
      <c r="E18" s="146"/>
      <c r="F18" s="143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3">
      <c r="A19" s="6"/>
      <c r="B19" s="139"/>
      <c r="C19" s="145"/>
      <c r="D19" s="146"/>
      <c r="E19" s="146"/>
      <c r="F19" s="143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3">
      <c r="A20" s="6"/>
      <c r="B20" s="139"/>
      <c r="C20" s="145"/>
      <c r="D20" s="146"/>
      <c r="E20" s="146"/>
      <c r="F20" s="143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3">
      <c r="A21" s="6"/>
      <c r="B21" s="147"/>
      <c r="C21" s="148"/>
      <c r="D21" s="149"/>
      <c r="E21" s="149"/>
      <c r="F21" s="15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3">
      <c r="A22" s="6"/>
      <c r="B22" s="121"/>
      <c r="C22" s="122"/>
      <c r="D22" s="122"/>
      <c r="E22" s="122"/>
      <c r="F22" s="122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3">
      <c r="A23" s="6"/>
      <c r="B23" s="121"/>
      <c r="C23" s="122"/>
      <c r="D23" s="122"/>
      <c r="E23" s="122"/>
      <c r="F23" s="122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3">
      <c r="A24" s="6"/>
      <c r="B24" s="121"/>
      <c r="C24" s="122"/>
      <c r="D24" s="122"/>
      <c r="E24" s="122"/>
      <c r="F24" s="122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3">
      <c r="A25" s="6"/>
      <c r="B25" s="121"/>
      <c r="C25" s="122"/>
      <c r="D25" s="122"/>
      <c r="E25" s="122"/>
      <c r="F25" s="122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3">
      <c r="A26" s="6"/>
      <c r="B26" s="121"/>
      <c r="C26" s="122"/>
      <c r="D26" s="122"/>
      <c r="E26" s="122"/>
      <c r="F26" s="122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3">
      <c r="A27" s="6"/>
      <c r="B27" s="121"/>
      <c r="C27" s="122"/>
      <c r="D27" s="122"/>
      <c r="E27" s="122"/>
      <c r="F27" s="122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3">
      <c r="A28" s="6"/>
      <c r="B28" s="121"/>
      <c r="C28" s="122"/>
      <c r="D28" s="122"/>
      <c r="E28" s="122"/>
      <c r="F28" s="122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3">
      <c r="A29" s="6"/>
      <c r="B29" s="121"/>
      <c r="C29" s="122"/>
      <c r="D29" s="122"/>
      <c r="E29" s="122"/>
      <c r="F29" s="122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3">
      <c r="A30" s="6"/>
      <c r="B30" s="121"/>
      <c r="C30" s="122"/>
      <c r="D30" s="122"/>
      <c r="E30" s="122"/>
      <c r="F30" s="122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3">
      <c r="A31" s="6"/>
      <c r="B31" s="121"/>
      <c r="C31" s="122"/>
      <c r="D31" s="122"/>
      <c r="E31" s="122"/>
      <c r="F31" s="122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3">
      <c r="A32" s="6"/>
      <c r="B32" s="121"/>
      <c r="C32" s="122"/>
      <c r="D32" s="122"/>
      <c r="E32" s="122"/>
      <c r="F32" s="122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3">
      <c r="A33" s="6"/>
      <c r="B33" s="121"/>
      <c r="C33" s="122"/>
      <c r="D33" s="122"/>
      <c r="E33" s="122"/>
      <c r="F33" s="122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">
      <c r="A34" s="6"/>
      <c r="B34" s="121"/>
      <c r="C34" s="122"/>
      <c r="D34" s="122"/>
      <c r="E34" s="122"/>
      <c r="F34" s="122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3">
      <c r="A35" s="6"/>
      <c r="B35" s="121"/>
      <c r="C35" s="122"/>
      <c r="D35" s="122"/>
      <c r="E35" s="122"/>
      <c r="F35" s="122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3">
      <c r="A36" s="6"/>
      <c r="B36" s="121"/>
      <c r="C36" s="122"/>
      <c r="D36" s="122"/>
      <c r="E36" s="122"/>
      <c r="F36" s="122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3">
      <c r="A37" s="6"/>
      <c r="B37" s="121"/>
      <c r="C37" s="122"/>
      <c r="D37" s="122"/>
      <c r="E37" s="122"/>
      <c r="F37" s="122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">
      <c r="A38" s="6"/>
      <c r="B38" s="121"/>
      <c r="C38" s="122"/>
      <c r="D38" s="122"/>
      <c r="E38" s="122"/>
      <c r="F38" s="122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3">
      <c r="A39" s="6"/>
      <c r="B39" s="121"/>
      <c r="C39" s="122"/>
      <c r="D39" s="122"/>
      <c r="E39" s="122"/>
      <c r="F39" s="122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">
      <c r="A40" s="6"/>
      <c r="B40" s="121"/>
      <c r="C40" s="122"/>
      <c r="D40" s="122"/>
      <c r="E40" s="122"/>
      <c r="F40" s="122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">
      <c r="A41" s="6"/>
      <c r="B41" s="121"/>
      <c r="C41" s="122"/>
      <c r="D41" s="122"/>
      <c r="E41" s="122"/>
      <c r="F41" s="122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">
      <c r="A42" s="6"/>
      <c r="B42" s="121"/>
      <c r="C42" s="122"/>
      <c r="D42" s="122"/>
      <c r="E42" s="122"/>
      <c r="F42" s="122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">
      <c r="A43" s="6"/>
      <c r="B43" s="121"/>
      <c r="C43" s="122"/>
      <c r="D43" s="122"/>
      <c r="E43" s="122"/>
      <c r="F43" s="122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">
      <c r="A44" s="6"/>
      <c r="B44" s="121"/>
      <c r="C44" s="122"/>
      <c r="D44" s="122"/>
      <c r="E44" s="122"/>
      <c r="F44" s="122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">
      <c r="A45" s="6"/>
      <c r="B45" s="121"/>
      <c r="C45" s="122"/>
      <c r="D45" s="122"/>
      <c r="E45" s="122"/>
      <c r="F45" s="122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">
      <c r="A46" s="6"/>
      <c r="B46" s="121"/>
      <c r="C46" s="122"/>
      <c r="D46" s="122"/>
      <c r="E46" s="122"/>
      <c r="F46" s="122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">
      <c r="A47" s="6"/>
      <c r="B47" s="121"/>
      <c r="C47" s="122"/>
      <c r="D47" s="122"/>
      <c r="E47" s="122"/>
      <c r="F47" s="122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">
      <c r="A48" s="6"/>
      <c r="B48" s="121"/>
      <c r="C48" s="122"/>
      <c r="D48" s="122"/>
      <c r="E48" s="122"/>
      <c r="F48" s="122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">
      <c r="A49" s="6"/>
      <c r="B49" s="121"/>
      <c r="C49" s="122"/>
      <c r="D49" s="122"/>
      <c r="E49" s="122"/>
      <c r="F49" s="122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">
      <c r="A50" s="6"/>
      <c r="B50" s="121"/>
      <c r="C50" s="122"/>
      <c r="D50" s="122"/>
      <c r="E50" s="122"/>
      <c r="F50" s="122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">
      <c r="A51" s="6"/>
      <c r="B51" s="121"/>
      <c r="C51" s="122"/>
      <c r="D51" s="122"/>
      <c r="E51" s="122"/>
      <c r="F51" s="122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">
      <c r="A52" s="6"/>
      <c r="B52" s="121"/>
      <c r="C52" s="122"/>
      <c r="D52" s="122"/>
      <c r="E52" s="122"/>
      <c r="F52" s="122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">
      <c r="A53" s="6"/>
      <c r="B53" s="121"/>
      <c r="C53" s="122"/>
      <c r="D53" s="122"/>
      <c r="E53" s="122"/>
      <c r="F53" s="122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">
      <c r="A54" s="6"/>
      <c r="B54" s="121"/>
      <c r="C54" s="122"/>
      <c r="D54" s="122"/>
      <c r="E54" s="122"/>
      <c r="F54" s="122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">
      <c r="A55" s="6"/>
      <c r="B55" s="121"/>
      <c r="C55" s="122"/>
      <c r="D55" s="122"/>
      <c r="E55" s="122"/>
      <c r="F55" s="122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">
      <c r="A56" s="6"/>
      <c r="B56" s="121"/>
      <c r="C56" s="122"/>
      <c r="D56" s="122"/>
      <c r="E56" s="122"/>
      <c r="F56" s="122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">
      <c r="A57" s="6"/>
      <c r="B57" s="121"/>
      <c r="C57" s="122"/>
      <c r="D57" s="122"/>
      <c r="E57" s="122"/>
      <c r="F57" s="122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">
      <c r="A58" s="6"/>
      <c r="B58" s="121"/>
      <c r="C58" s="122"/>
      <c r="D58" s="122"/>
      <c r="E58" s="122"/>
      <c r="F58" s="122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">
      <c r="A59" s="6"/>
      <c r="B59" s="121"/>
      <c r="C59" s="122"/>
      <c r="D59" s="122"/>
      <c r="E59" s="122"/>
      <c r="F59" s="122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">
      <c r="A60" s="6"/>
      <c r="B60" s="121"/>
      <c r="C60" s="122"/>
      <c r="D60" s="122"/>
      <c r="E60" s="122"/>
      <c r="F60" s="122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">
      <c r="A61" s="6"/>
      <c r="B61" s="121"/>
      <c r="C61" s="122"/>
      <c r="D61" s="122"/>
      <c r="E61" s="122"/>
      <c r="F61" s="122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">
      <c r="A62" s="6"/>
      <c r="B62" s="121"/>
      <c r="C62" s="122"/>
      <c r="D62" s="122"/>
      <c r="E62" s="122"/>
      <c r="F62" s="122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">
      <c r="A63" s="6"/>
      <c r="B63" s="121"/>
      <c r="C63" s="122"/>
      <c r="D63" s="122"/>
      <c r="E63" s="122"/>
      <c r="F63" s="122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">
      <c r="A64" s="6"/>
      <c r="B64" s="121"/>
      <c r="C64" s="122"/>
      <c r="D64" s="122"/>
      <c r="E64" s="122"/>
      <c r="F64" s="122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">
      <c r="A65" s="6"/>
      <c r="B65" s="121"/>
      <c r="C65" s="122"/>
      <c r="D65" s="122"/>
      <c r="E65" s="122"/>
      <c r="F65" s="122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">
      <c r="A66" s="6"/>
      <c r="B66" s="121"/>
      <c r="C66" s="122"/>
      <c r="D66" s="122"/>
      <c r="E66" s="122"/>
      <c r="F66" s="122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">
      <c r="A67" s="6"/>
      <c r="B67" s="121"/>
      <c r="C67" s="122"/>
      <c r="D67" s="122"/>
      <c r="E67" s="122"/>
      <c r="F67" s="122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">
      <c r="A68" s="6"/>
      <c r="B68" s="121"/>
      <c r="C68" s="122"/>
      <c r="D68" s="122"/>
      <c r="E68" s="122"/>
      <c r="F68" s="122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">
      <c r="A69" s="6"/>
      <c r="B69" s="121"/>
      <c r="C69" s="122"/>
      <c r="D69" s="122"/>
      <c r="E69" s="122"/>
      <c r="F69" s="122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">
      <c r="A70" s="6"/>
      <c r="B70" s="121"/>
      <c r="C70" s="122"/>
      <c r="D70" s="122"/>
      <c r="E70" s="122"/>
      <c r="F70" s="122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">
      <c r="A71" s="6"/>
      <c r="B71" s="121"/>
      <c r="C71" s="122"/>
      <c r="D71" s="122"/>
      <c r="E71" s="122"/>
      <c r="F71" s="122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">
      <c r="A72" s="6"/>
      <c r="B72" s="121"/>
      <c r="C72" s="122"/>
      <c r="D72" s="122"/>
      <c r="E72" s="122"/>
      <c r="F72" s="122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">
      <c r="A73" s="6"/>
      <c r="B73" s="121"/>
      <c r="C73" s="122"/>
      <c r="D73" s="122"/>
      <c r="E73" s="122"/>
      <c r="F73" s="122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">
      <c r="A74" s="6"/>
      <c r="B74" s="121"/>
      <c r="C74" s="122"/>
      <c r="D74" s="122"/>
      <c r="E74" s="122"/>
      <c r="F74" s="122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/>
      <c r="B75" s="121"/>
      <c r="C75" s="122"/>
      <c r="D75" s="122"/>
      <c r="E75" s="122"/>
      <c r="F75" s="122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/>
      <c r="B76" s="121"/>
      <c r="C76" s="122"/>
      <c r="D76" s="122"/>
      <c r="E76" s="122"/>
      <c r="F76" s="122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">
      <c r="A77" s="6"/>
      <c r="B77" s="121"/>
      <c r="C77" s="122"/>
      <c r="D77" s="122"/>
      <c r="E77" s="122"/>
      <c r="F77" s="122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">
      <c r="A78" s="6"/>
      <c r="B78" s="121"/>
      <c r="C78" s="122"/>
      <c r="D78" s="122"/>
      <c r="E78" s="122"/>
      <c r="F78" s="122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">
      <c r="A79" s="6"/>
      <c r="B79" s="121"/>
      <c r="C79" s="122"/>
      <c r="D79" s="122"/>
      <c r="E79" s="122"/>
      <c r="F79" s="122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">
      <c r="A80" s="6"/>
      <c r="B80" s="121"/>
      <c r="C80" s="122"/>
      <c r="D80" s="122"/>
      <c r="E80" s="122"/>
      <c r="F80" s="122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">
      <c r="A81" s="6"/>
      <c r="B81" s="121"/>
      <c r="C81" s="122"/>
      <c r="D81" s="122"/>
      <c r="E81" s="122"/>
      <c r="F81" s="122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">
      <c r="A82" s="6"/>
      <c r="B82" s="121"/>
      <c r="C82" s="122"/>
      <c r="D82" s="122"/>
      <c r="E82" s="122"/>
      <c r="F82" s="122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">
      <c r="A83" s="6"/>
      <c r="B83" s="121"/>
      <c r="C83" s="122"/>
      <c r="D83" s="122"/>
      <c r="E83" s="122"/>
      <c r="F83" s="122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">
      <c r="A84" s="6"/>
      <c r="B84" s="121"/>
      <c r="C84" s="122"/>
      <c r="D84" s="122"/>
      <c r="E84" s="122"/>
      <c r="F84" s="122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">
      <c r="A85" s="6"/>
      <c r="B85" s="121"/>
      <c r="C85" s="122"/>
      <c r="D85" s="122"/>
      <c r="E85" s="122"/>
      <c r="F85" s="122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">
      <c r="A86" s="6"/>
      <c r="B86" s="121"/>
      <c r="C86" s="122"/>
      <c r="D86" s="122"/>
      <c r="E86" s="122"/>
      <c r="F86" s="122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">
      <c r="A87" s="6"/>
      <c r="B87" s="121"/>
      <c r="C87" s="122"/>
      <c r="D87" s="122"/>
      <c r="E87" s="122"/>
      <c r="F87" s="122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">
      <c r="A88" s="6"/>
      <c r="B88" s="121"/>
      <c r="C88" s="122"/>
      <c r="D88" s="122"/>
      <c r="E88" s="122"/>
      <c r="F88" s="122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">
      <c r="A89" s="6"/>
      <c r="B89" s="121"/>
      <c r="C89" s="122"/>
      <c r="D89" s="122"/>
      <c r="E89" s="122"/>
      <c r="F89" s="122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">
      <c r="A90" s="6"/>
      <c r="B90" s="121"/>
      <c r="C90" s="122"/>
      <c r="D90" s="122"/>
      <c r="E90" s="122"/>
      <c r="F90" s="122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">
      <c r="A91" s="6"/>
      <c r="B91" s="121"/>
      <c r="C91" s="122"/>
      <c r="D91" s="122"/>
      <c r="E91" s="122"/>
      <c r="F91" s="122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6"/>
      <c r="B92" s="121"/>
      <c r="C92" s="122"/>
      <c r="D92" s="122"/>
      <c r="E92" s="122"/>
      <c r="F92" s="122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121"/>
      <c r="C93" s="122"/>
      <c r="D93" s="122"/>
      <c r="E93" s="122"/>
      <c r="F93" s="122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121"/>
      <c r="C94" s="122"/>
      <c r="D94" s="122"/>
      <c r="E94" s="122"/>
      <c r="F94" s="122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121"/>
      <c r="C95" s="122"/>
      <c r="D95" s="122"/>
      <c r="E95" s="122"/>
      <c r="F95" s="122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121"/>
      <c r="C96" s="122"/>
      <c r="D96" s="122"/>
      <c r="E96" s="122"/>
      <c r="F96" s="122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">
      <c r="A97" s="6"/>
      <c r="B97" s="121"/>
      <c r="C97" s="122"/>
      <c r="D97" s="122"/>
      <c r="E97" s="122"/>
      <c r="F97" s="122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121"/>
      <c r="C98" s="122"/>
      <c r="D98" s="122"/>
      <c r="E98" s="122"/>
      <c r="F98" s="122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121"/>
      <c r="C99" s="122"/>
      <c r="D99" s="122"/>
      <c r="E99" s="122"/>
      <c r="F99" s="122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121"/>
      <c r="C100" s="122"/>
      <c r="D100" s="122"/>
      <c r="E100" s="122"/>
      <c r="F100" s="122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121"/>
      <c r="C101" s="122"/>
      <c r="D101" s="122"/>
      <c r="E101" s="122"/>
      <c r="F101" s="122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A102" s="6"/>
      <c r="B102" s="121"/>
      <c r="C102" s="122"/>
      <c r="D102" s="122"/>
      <c r="E102" s="122"/>
      <c r="F102" s="122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121"/>
      <c r="C103" s="122"/>
      <c r="D103" s="122"/>
      <c r="E103" s="122"/>
      <c r="F103" s="122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121"/>
      <c r="C104" s="122"/>
      <c r="D104" s="122"/>
      <c r="E104" s="122"/>
      <c r="F104" s="122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">
      <c r="A105" s="6"/>
      <c r="B105" s="121"/>
      <c r="C105" s="122"/>
      <c r="D105" s="122"/>
      <c r="E105" s="122"/>
      <c r="F105" s="122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121"/>
      <c r="C106" s="122"/>
      <c r="D106" s="122"/>
      <c r="E106" s="122"/>
      <c r="F106" s="122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121"/>
      <c r="C107" s="122"/>
      <c r="D107" s="122"/>
      <c r="E107" s="122"/>
      <c r="F107" s="122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">
      <c r="A108" s="6"/>
      <c r="B108" s="121"/>
      <c r="C108" s="122"/>
      <c r="D108" s="122"/>
      <c r="E108" s="122"/>
      <c r="F108" s="122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121"/>
      <c r="C109" s="122"/>
      <c r="D109" s="122"/>
      <c r="E109" s="122"/>
      <c r="F109" s="122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121"/>
      <c r="C110" s="122"/>
      <c r="D110" s="122"/>
      <c r="E110" s="122"/>
      <c r="F110" s="122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121"/>
      <c r="C111" s="122"/>
      <c r="D111" s="122"/>
      <c r="E111" s="122"/>
      <c r="F111" s="122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">
      <c r="A112" s="6"/>
      <c r="B112" s="121"/>
      <c r="C112" s="122"/>
      <c r="D112" s="122"/>
      <c r="E112" s="122"/>
      <c r="F112" s="122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121"/>
      <c r="C113" s="122"/>
      <c r="D113" s="122"/>
      <c r="E113" s="122"/>
      <c r="F113" s="122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121"/>
      <c r="C114" s="122"/>
      <c r="D114" s="122"/>
      <c r="E114" s="122"/>
      <c r="F114" s="122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">
      <c r="A115" s="6"/>
      <c r="B115" s="121"/>
      <c r="C115" s="122"/>
      <c r="D115" s="122"/>
      <c r="E115" s="122"/>
      <c r="F115" s="12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121"/>
      <c r="C116" s="122"/>
      <c r="D116" s="122"/>
      <c r="E116" s="122"/>
      <c r="F116" s="122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121"/>
      <c r="C117" s="122"/>
      <c r="D117" s="122"/>
      <c r="E117" s="122"/>
      <c r="F117" s="122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121"/>
      <c r="C118" s="122"/>
      <c r="D118" s="122"/>
      <c r="E118" s="122"/>
      <c r="F118" s="122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121"/>
      <c r="C119" s="122"/>
      <c r="D119" s="122"/>
      <c r="E119" s="122"/>
      <c r="F119" s="122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121"/>
      <c r="C120" s="122"/>
      <c r="D120" s="122"/>
      <c r="E120" s="122"/>
      <c r="F120" s="122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121"/>
      <c r="C121" s="122"/>
      <c r="D121" s="122"/>
      <c r="E121" s="122"/>
      <c r="F121" s="122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121"/>
      <c r="C122" s="122"/>
      <c r="D122" s="122"/>
      <c r="E122" s="122"/>
      <c r="F122" s="122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121"/>
      <c r="C123" s="122"/>
      <c r="D123" s="122"/>
      <c r="E123" s="122"/>
      <c r="F123" s="122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121"/>
      <c r="C124" s="122"/>
      <c r="D124" s="122"/>
      <c r="E124" s="122"/>
      <c r="F124" s="122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121"/>
      <c r="C125" s="122"/>
      <c r="D125" s="122"/>
      <c r="E125" s="122"/>
      <c r="F125" s="122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121"/>
      <c r="C126" s="122"/>
      <c r="D126" s="122"/>
      <c r="E126" s="122"/>
      <c r="F126" s="122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121"/>
      <c r="C127" s="122"/>
      <c r="D127" s="122"/>
      <c r="E127" s="122"/>
      <c r="F127" s="122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121"/>
      <c r="C128" s="122"/>
      <c r="D128" s="122"/>
      <c r="E128" s="122"/>
      <c r="F128" s="122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121"/>
      <c r="C129" s="122"/>
      <c r="D129" s="122"/>
      <c r="E129" s="122"/>
      <c r="F129" s="122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121"/>
      <c r="C130" s="122"/>
      <c r="D130" s="122"/>
      <c r="E130" s="122"/>
      <c r="F130" s="122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121"/>
      <c r="C131" s="122"/>
      <c r="D131" s="122"/>
      <c r="E131" s="122"/>
      <c r="F131" s="122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121"/>
      <c r="C132" s="122"/>
      <c r="D132" s="122"/>
      <c r="E132" s="122"/>
      <c r="F132" s="122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121"/>
      <c r="C133" s="122"/>
      <c r="D133" s="122"/>
      <c r="E133" s="122"/>
      <c r="F133" s="122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121"/>
      <c r="C134" s="122"/>
      <c r="D134" s="122"/>
      <c r="E134" s="122"/>
      <c r="F134" s="122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121"/>
      <c r="C135" s="122"/>
      <c r="D135" s="122"/>
      <c r="E135" s="122"/>
      <c r="F135" s="122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121"/>
      <c r="C136" s="122"/>
      <c r="D136" s="122"/>
      <c r="E136" s="122"/>
      <c r="F136" s="122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121"/>
      <c r="C137" s="122"/>
      <c r="D137" s="122"/>
      <c r="E137" s="122"/>
      <c r="F137" s="122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121"/>
      <c r="C138" s="122"/>
      <c r="D138" s="122"/>
      <c r="E138" s="122"/>
      <c r="F138" s="122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121"/>
      <c r="C139" s="122"/>
      <c r="D139" s="122"/>
      <c r="E139" s="122"/>
      <c r="F139" s="122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121"/>
      <c r="C140" s="122"/>
      <c r="D140" s="122"/>
      <c r="E140" s="122"/>
      <c r="F140" s="122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121"/>
      <c r="C141" s="122"/>
      <c r="D141" s="122"/>
      <c r="E141" s="122"/>
      <c r="F141" s="122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121"/>
      <c r="C142" s="122"/>
      <c r="D142" s="122"/>
      <c r="E142" s="122"/>
      <c r="F142" s="122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121"/>
      <c r="C143" s="122"/>
      <c r="D143" s="122"/>
      <c r="E143" s="122"/>
      <c r="F143" s="122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121"/>
      <c r="C144" s="122"/>
      <c r="D144" s="122"/>
      <c r="E144" s="122"/>
      <c r="F144" s="122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121"/>
      <c r="C145" s="122"/>
      <c r="D145" s="122"/>
      <c r="E145" s="122"/>
      <c r="F145" s="122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121"/>
      <c r="C146" s="122"/>
      <c r="D146" s="122"/>
      <c r="E146" s="122"/>
      <c r="F146" s="122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121"/>
      <c r="C147" s="122"/>
      <c r="D147" s="122"/>
      <c r="E147" s="122"/>
      <c r="F147" s="122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121"/>
      <c r="C148" s="122"/>
      <c r="D148" s="122"/>
      <c r="E148" s="122"/>
      <c r="F148" s="122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121"/>
      <c r="C149" s="122"/>
      <c r="D149" s="122"/>
      <c r="E149" s="122"/>
      <c r="F149" s="122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121"/>
      <c r="C150" s="122"/>
      <c r="D150" s="122"/>
      <c r="E150" s="122"/>
      <c r="F150" s="122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121"/>
      <c r="C151" s="122"/>
      <c r="D151" s="122"/>
      <c r="E151" s="122"/>
      <c r="F151" s="122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121"/>
      <c r="C152" s="122"/>
      <c r="D152" s="122"/>
      <c r="E152" s="122"/>
      <c r="F152" s="122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121"/>
      <c r="C153" s="122"/>
      <c r="D153" s="122"/>
      <c r="E153" s="122"/>
      <c r="F153" s="122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121"/>
      <c r="C154" s="122"/>
      <c r="D154" s="122"/>
      <c r="E154" s="122"/>
      <c r="F154" s="122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121"/>
      <c r="C155" s="122"/>
      <c r="D155" s="122"/>
      <c r="E155" s="122"/>
      <c r="F155" s="122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121"/>
      <c r="C156" s="122"/>
      <c r="D156" s="122"/>
      <c r="E156" s="122"/>
      <c r="F156" s="122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121"/>
      <c r="C157" s="122"/>
      <c r="D157" s="122"/>
      <c r="E157" s="122"/>
      <c r="F157" s="122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121"/>
      <c r="C158" s="122"/>
      <c r="D158" s="122"/>
      <c r="E158" s="122"/>
      <c r="F158" s="122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121"/>
      <c r="C159" s="122"/>
      <c r="D159" s="122"/>
      <c r="E159" s="122"/>
      <c r="F159" s="122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121"/>
      <c r="C160" s="122"/>
      <c r="D160" s="122"/>
      <c r="E160" s="122"/>
      <c r="F160" s="122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121"/>
      <c r="C161" s="122"/>
      <c r="D161" s="122"/>
      <c r="E161" s="122"/>
      <c r="F161" s="122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121"/>
      <c r="C162" s="122"/>
      <c r="D162" s="122"/>
      <c r="E162" s="122"/>
      <c r="F162" s="122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121"/>
      <c r="C163" s="122"/>
      <c r="D163" s="122"/>
      <c r="E163" s="122"/>
      <c r="F163" s="122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121"/>
      <c r="C164" s="122"/>
      <c r="D164" s="122"/>
      <c r="E164" s="122"/>
      <c r="F164" s="122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121"/>
      <c r="C165" s="122"/>
      <c r="D165" s="122"/>
      <c r="E165" s="122"/>
      <c r="F165" s="122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121"/>
      <c r="C166" s="122"/>
      <c r="D166" s="122"/>
      <c r="E166" s="122"/>
      <c r="F166" s="122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121"/>
      <c r="C167" s="122"/>
      <c r="D167" s="122"/>
      <c r="E167" s="122"/>
      <c r="F167" s="122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121"/>
      <c r="C168" s="122"/>
      <c r="D168" s="122"/>
      <c r="E168" s="122"/>
      <c r="F168" s="122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121"/>
      <c r="C169" s="122"/>
      <c r="D169" s="122"/>
      <c r="E169" s="122"/>
      <c r="F169" s="122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121"/>
      <c r="C170" s="122"/>
      <c r="D170" s="122"/>
      <c r="E170" s="122"/>
      <c r="F170" s="122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121"/>
      <c r="C171" s="122"/>
      <c r="D171" s="122"/>
      <c r="E171" s="122"/>
      <c r="F171" s="122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121"/>
      <c r="C172" s="122"/>
      <c r="D172" s="122"/>
      <c r="E172" s="122"/>
      <c r="F172" s="122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121"/>
      <c r="C173" s="122"/>
      <c r="D173" s="122"/>
      <c r="E173" s="122"/>
      <c r="F173" s="122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121"/>
      <c r="C174" s="122"/>
      <c r="D174" s="122"/>
      <c r="E174" s="122"/>
      <c r="F174" s="122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121"/>
      <c r="C175" s="122"/>
      <c r="D175" s="122"/>
      <c r="E175" s="122"/>
      <c r="F175" s="122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121"/>
      <c r="C176" s="122"/>
      <c r="D176" s="122"/>
      <c r="E176" s="122"/>
      <c r="F176" s="122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121"/>
      <c r="C177" s="122"/>
      <c r="D177" s="122"/>
      <c r="E177" s="122"/>
      <c r="F177" s="122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121"/>
      <c r="C178" s="122"/>
      <c r="D178" s="122"/>
      <c r="E178" s="122"/>
      <c r="F178" s="122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121"/>
      <c r="C179" s="122"/>
      <c r="D179" s="122"/>
      <c r="E179" s="122"/>
      <c r="F179" s="122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121"/>
      <c r="C180" s="122"/>
      <c r="D180" s="122"/>
      <c r="E180" s="122"/>
      <c r="F180" s="122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121"/>
      <c r="C181" s="122"/>
      <c r="D181" s="122"/>
      <c r="E181" s="122"/>
      <c r="F181" s="122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121"/>
      <c r="C182" s="122"/>
      <c r="D182" s="122"/>
      <c r="E182" s="122"/>
      <c r="F182" s="122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121"/>
      <c r="C183" s="122"/>
      <c r="D183" s="122"/>
      <c r="E183" s="122"/>
      <c r="F183" s="122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121"/>
      <c r="C184" s="122"/>
      <c r="D184" s="122"/>
      <c r="E184" s="122"/>
      <c r="F184" s="122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121"/>
      <c r="C185" s="122"/>
      <c r="D185" s="122"/>
      <c r="E185" s="122"/>
      <c r="F185" s="122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121"/>
      <c r="C186" s="122"/>
      <c r="D186" s="122"/>
      <c r="E186" s="122"/>
      <c r="F186" s="122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121"/>
      <c r="C187" s="122"/>
      <c r="D187" s="122"/>
      <c r="E187" s="122"/>
      <c r="F187" s="122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121"/>
      <c r="C188" s="122"/>
      <c r="D188" s="122"/>
      <c r="E188" s="122"/>
      <c r="F188" s="122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121"/>
      <c r="C189" s="122"/>
      <c r="D189" s="122"/>
      <c r="E189" s="122"/>
      <c r="F189" s="122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121"/>
      <c r="C190" s="122"/>
      <c r="D190" s="122"/>
      <c r="E190" s="122"/>
      <c r="F190" s="122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121"/>
      <c r="C191" s="122"/>
      <c r="D191" s="122"/>
      <c r="E191" s="122"/>
      <c r="F191" s="122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121"/>
      <c r="C192" s="122"/>
      <c r="D192" s="122"/>
      <c r="E192" s="122"/>
      <c r="F192" s="122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121"/>
      <c r="C193" s="122"/>
      <c r="D193" s="122"/>
      <c r="E193" s="122"/>
      <c r="F193" s="122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121"/>
      <c r="C194" s="122"/>
      <c r="D194" s="122"/>
      <c r="E194" s="122"/>
      <c r="F194" s="122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121"/>
      <c r="C195" s="122"/>
      <c r="D195" s="122"/>
      <c r="E195" s="122"/>
      <c r="F195" s="122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121"/>
      <c r="C196" s="122"/>
      <c r="D196" s="122"/>
      <c r="E196" s="122"/>
      <c r="F196" s="122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121"/>
      <c r="C197" s="122"/>
      <c r="D197" s="122"/>
      <c r="E197" s="122"/>
      <c r="F197" s="122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121"/>
      <c r="C198" s="122"/>
      <c r="D198" s="122"/>
      <c r="E198" s="122"/>
      <c r="F198" s="122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121"/>
      <c r="C199" s="122"/>
      <c r="D199" s="122"/>
      <c r="E199" s="122"/>
      <c r="F199" s="122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121"/>
      <c r="C200" s="122"/>
      <c r="D200" s="122"/>
      <c r="E200" s="122"/>
      <c r="F200" s="122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121"/>
      <c r="C201" s="122"/>
      <c r="D201" s="122"/>
      <c r="E201" s="122"/>
      <c r="F201" s="122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121"/>
      <c r="C202" s="122"/>
      <c r="D202" s="122"/>
      <c r="E202" s="122"/>
      <c r="F202" s="122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121"/>
      <c r="C203" s="122"/>
      <c r="D203" s="122"/>
      <c r="E203" s="122"/>
      <c r="F203" s="122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121"/>
      <c r="C204" s="122"/>
      <c r="D204" s="122"/>
      <c r="E204" s="122"/>
      <c r="F204" s="122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121"/>
      <c r="C205" s="122"/>
      <c r="D205" s="122"/>
      <c r="E205" s="122"/>
      <c r="F205" s="122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121"/>
      <c r="C206" s="122"/>
      <c r="D206" s="122"/>
      <c r="E206" s="122"/>
      <c r="F206" s="122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121"/>
      <c r="C207" s="122"/>
      <c r="D207" s="122"/>
      <c r="E207" s="122"/>
      <c r="F207" s="122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121"/>
      <c r="C208" s="122"/>
      <c r="D208" s="122"/>
      <c r="E208" s="122"/>
      <c r="F208" s="122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121"/>
      <c r="C209" s="122"/>
      <c r="D209" s="122"/>
      <c r="E209" s="122"/>
      <c r="F209" s="122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121"/>
      <c r="C210" s="122"/>
      <c r="D210" s="122"/>
      <c r="E210" s="122"/>
      <c r="F210" s="122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121"/>
      <c r="C211" s="122"/>
      <c r="D211" s="122"/>
      <c r="E211" s="122"/>
      <c r="F211" s="122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121"/>
      <c r="C212" s="122"/>
      <c r="D212" s="122"/>
      <c r="E212" s="122"/>
      <c r="F212" s="122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121"/>
      <c r="C213" s="122"/>
      <c r="D213" s="122"/>
      <c r="E213" s="122"/>
      <c r="F213" s="122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121"/>
      <c r="C214" s="122"/>
      <c r="D214" s="122"/>
      <c r="E214" s="122"/>
      <c r="F214" s="122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121"/>
      <c r="C215" s="122"/>
      <c r="D215" s="122"/>
      <c r="E215" s="122"/>
      <c r="F215" s="122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121"/>
      <c r="C216" s="122"/>
      <c r="D216" s="122"/>
      <c r="E216" s="122"/>
      <c r="F216" s="122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121"/>
      <c r="C217" s="122"/>
      <c r="D217" s="122"/>
      <c r="E217" s="122"/>
      <c r="F217" s="122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121"/>
      <c r="C218" s="122"/>
      <c r="D218" s="122"/>
      <c r="E218" s="122"/>
      <c r="F218" s="122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121"/>
      <c r="C219" s="122"/>
      <c r="D219" s="122"/>
      <c r="E219" s="122"/>
      <c r="F219" s="122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121"/>
      <c r="C220" s="122"/>
      <c r="D220" s="122"/>
      <c r="E220" s="122"/>
      <c r="F220" s="122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spans="1:26" x14ac:dyDescent="0.3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spans="1:26" x14ac:dyDescent="0.3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spans="1:26" x14ac:dyDescent="0.3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spans="1:26" x14ac:dyDescent="0.3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spans="1:26" x14ac:dyDescent="0.3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spans="1:26" x14ac:dyDescent="0.3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spans="1:26" x14ac:dyDescent="0.3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spans="1:26" x14ac:dyDescent="0.3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spans="1:26" x14ac:dyDescent="0.3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spans="1:26" x14ac:dyDescent="0.3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spans="1:26" x14ac:dyDescent="0.3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spans="1:26" x14ac:dyDescent="0.3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spans="1:26" x14ac:dyDescent="0.3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spans="1:26" x14ac:dyDescent="0.3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spans="1:26" x14ac:dyDescent="0.3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spans="1:26" x14ac:dyDescent="0.3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spans="1:26" x14ac:dyDescent="0.3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spans="1:26" x14ac:dyDescent="0.3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spans="1:26" x14ac:dyDescent="0.3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spans="1:26" x14ac:dyDescent="0.3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spans="1:26" x14ac:dyDescent="0.3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spans="1:26" x14ac:dyDescent="0.3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spans="1:26" x14ac:dyDescent="0.3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spans="1:26" x14ac:dyDescent="0.3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spans="1:26" x14ac:dyDescent="0.3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spans="1:26" x14ac:dyDescent="0.3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spans="1:26" x14ac:dyDescent="0.3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spans="1:26" x14ac:dyDescent="0.3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spans="1:26" x14ac:dyDescent="0.3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spans="1:26" x14ac:dyDescent="0.3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spans="1:26" x14ac:dyDescent="0.3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spans="1:26" x14ac:dyDescent="0.3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spans="1:26" x14ac:dyDescent="0.3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spans="1:26" x14ac:dyDescent="0.3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spans="1:26" x14ac:dyDescent="0.3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spans="1:26" x14ac:dyDescent="0.3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spans="1:26" x14ac:dyDescent="0.3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spans="1:26" x14ac:dyDescent="0.3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spans="1:26" x14ac:dyDescent="0.3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spans="1:26" x14ac:dyDescent="0.3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spans="1:26" x14ac:dyDescent="0.3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spans="1:26" x14ac:dyDescent="0.3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spans="1:26" x14ac:dyDescent="0.3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spans="1:26" x14ac:dyDescent="0.3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spans="1:26" x14ac:dyDescent="0.3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spans="1:26" x14ac:dyDescent="0.3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spans="1:26" x14ac:dyDescent="0.3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spans="1:26" x14ac:dyDescent="0.3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spans="1:26" x14ac:dyDescent="0.3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spans="1:26" x14ac:dyDescent="0.3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spans="1:26" x14ac:dyDescent="0.3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spans="1:26" x14ac:dyDescent="0.3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spans="1:26" x14ac:dyDescent="0.3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spans="1:26" x14ac:dyDescent="0.3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spans="1:26" x14ac:dyDescent="0.3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spans="1:26" x14ac:dyDescent="0.3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spans="1:26" x14ac:dyDescent="0.3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spans="1:26" x14ac:dyDescent="0.3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spans="1:26" x14ac:dyDescent="0.3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spans="1:26" x14ac:dyDescent="0.3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spans="1:26" x14ac:dyDescent="0.3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spans="1:26" x14ac:dyDescent="0.3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spans="1:26" x14ac:dyDescent="0.3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spans="1:26" x14ac:dyDescent="0.3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spans="1:26" x14ac:dyDescent="0.3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spans="1:26" x14ac:dyDescent="0.3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spans="1:26" x14ac:dyDescent="0.3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spans="1:26" x14ac:dyDescent="0.3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spans="1:26" x14ac:dyDescent="0.3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spans="1:26" x14ac:dyDescent="0.3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spans="1:26" x14ac:dyDescent="0.3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spans="1:26" x14ac:dyDescent="0.3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spans="1:26" x14ac:dyDescent="0.3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spans="1:26" x14ac:dyDescent="0.3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spans="1:26" x14ac:dyDescent="0.3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spans="1:26" x14ac:dyDescent="0.3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spans="1:26" x14ac:dyDescent="0.3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spans="1:26" x14ac:dyDescent="0.3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spans="1:26" x14ac:dyDescent="0.3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spans="1:26" x14ac:dyDescent="0.3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spans="1:26" x14ac:dyDescent="0.3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spans="1:26" x14ac:dyDescent="0.3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spans="1:26" x14ac:dyDescent="0.3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spans="1:26" x14ac:dyDescent="0.3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spans="1:26" x14ac:dyDescent="0.3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spans="1:26" x14ac:dyDescent="0.3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spans="1:26" x14ac:dyDescent="0.3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spans="1:26" x14ac:dyDescent="0.3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spans="1:26" x14ac:dyDescent="0.3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spans="1:26" x14ac:dyDescent="0.3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spans="1:26" x14ac:dyDescent="0.3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spans="1:26" x14ac:dyDescent="0.3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spans="1:26" x14ac:dyDescent="0.3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spans="1:26" x14ac:dyDescent="0.3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spans="1:26" x14ac:dyDescent="0.3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spans="1:26" x14ac:dyDescent="0.3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spans="1:26" x14ac:dyDescent="0.3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spans="1:26" x14ac:dyDescent="0.3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spans="1:26" x14ac:dyDescent="0.3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spans="1:26" x14ac:dyDescent="0.3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spans="1:26" x14ac:dyDescent="0.3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spans="1:26" x14ac:dyDescent="0.3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spans="1:26" x14ac:dyDescent="0.3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spans="1:26" x14ac:dyDescent="0.3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spans="1:26" x14ac:dyDescent="0.3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spans="1:26" x14ac:dyDescent="0.3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spans="1:26" x14ac:dyDescent="0.3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spans="1:26" x14ac:dyDescent="0.3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spans="1:26" x14ac:dyDescent="0.3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spans="1:26" x14ac:dyDescent="0.3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spans="1:26" x14ac:dyDescent="0.3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spans="1:26" x14ac:dyDescent="0.3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spans="1:26" x14ac:dyDescent="0.3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spans="1:26" x14ac:dyDescent="0.3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spans="1:26" x14ac:dyDescent="0.3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spans="1:26" x14ac:dyDescent="0.3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spans="1:26" x14ac:dyDescent="0.3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spans="1:26" x14ac:dyDescent="0.3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spans="1:26" x14ac:dyDescent="0.3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spans="1:26" x14ac:dyDescent="0.3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spans="1:26" x14ac:dyDescent="0.3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spans="1:26" x14ac:dyDescent="0.3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spans="1:26" x14ac:dyDescent="0.3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spans="1:26" x14ac:dyDescent="0.3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spans="1:26" x14ac:dyDescent="0.3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spans="1:26" x14ac:dyDescent="0.3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spans="1:26" x14ac:dyDescent="0.3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spans="1:26" x14ac:dyDescent="0.3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spans="1:26" x14ac:dyDescent="0.3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spans="1:26" x14ac:dyDescent="0.3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spans="1:26" x14ac:dyDescent="0.3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spans="1:26" x14ac:dyDescent="0.3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spans="1:26" x14ac:dyDescent="0.3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spans="1:26" x14ac:dyDescent="0.3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spans="1:26" x14ac:dyDescent="0.3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spans="1:26" x14ac:dyDescent="0.3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spans="1:26" x14ac:dyDescent="0.3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spans="1:26" x14ac:dyDescent="0.3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spans="1:26" x14ac:dyDescent="0.3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spans="1:26" x14ac:dyDescent="0.3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spans="1:26" x14ac:dyDescent="0.3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spans="1:26" x14ac:dyDescent="0.3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spans="1:26" x14ac:dyDescent="0.3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spans="1:26" x14ac:dyDescent="0.3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spans="1:26" x14ac:dyDescent="0.3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spans="1:26" x14ac:dyDescent="0.3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spans="1:26" x14ac:dyDescent="0.3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spans="1:26" x14ac:dyDescent="0.3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spans="1:26" x14ac:dyDescent="0.3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spans="1:26" x14ac:dyDescent="0.3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spans="1:26" x14ac:dyDescent="0.3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spans="1:26" x14ac:dyDescent="0.3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spans="1:26" x14ac:dyDescent="0.3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spans="1:26" x14ac:dyDescent="0.3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spans="1:26" x14ac:dyDescent="0.3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spans="1:26" x14ac:dyDescent="0.3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spans="1:26" x14ac:dyDescent="0.3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spans="1:26" x14ac:dyDescent="0.3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spans="1:26" x14ac:dyDescent="0.3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spans="1:26" x14ac:dyDescent="0.3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spans="1:26" x14ac:dyDescent="0.3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spans="1:26" x14ac:dyDescent="0.3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spans="1:26" x14ac:dyDescent="0.3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spans="1:26" x14ac:dyDescent="0.3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spans="1:26" x14ac:dyDescent="0.3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spans="1:26" x14ac:dyDescent="0.3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spans="1:26" x14ac:dyDescent="0.3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spans="1:26" x14ac:dyDescent="0.3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spans="1:26" x14ac:dyDescent="0.3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spans="1:26" x14ac:dyDescent="0.3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spans="1:26" x14ac:dyDescent="0.3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spans="1:26" x14ac:dyDescent="0.3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spans="1:26" x14ac:dyDescent="0.3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spans="1:26" x14ac:dyDescent="0.3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spans="1:26" x14ac:dyDescent="0.3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spans="1:26" x14ac:dyDescent="0.3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spans="1:26" x14ac:dyDescent="0.3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spans="1:26" x14ac:dyDescent="0.3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spans="1:26" x14ac:dyDescent="0.3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spans="1:26" x14ac:dyDescent="0.3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spans="1:26" x14ac:dyDescent="0.3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spans="1:26" x14ac:dyDescent="0.3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spans="1:26" x14ac:dyDescent="0.3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spans="1:26" x14ac:dyDescent="0.3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spans="1:26" x14ac:dyDescent="0.3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spans="1:26" x14ac:dyDescent="0.3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spans="1:26" x14ac:dyDescent="0.3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spans="1:26" x14ac:dyDescent="0.3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spans="1:26" x14ac:dyDescent="0.3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spans="1:26" x14ac:dyDescent="0.3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spans="1:26" x14ac:dyDescent="0.3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spans="1:26" x14ac:dyDescent="0.3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spans="1:26" x14ac:dyDescent="0.3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spans="1:26" x14ac:dyDescent="0.3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spans="1:26" x14ac:dyDescent="0.3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spans="1:26" x14ac:dyDescent="0.3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spans="1:26" x14ac:dyDescent="0.3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spans="1:26" x14ac:dyDescent="0.3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spans="1:26" x14ac:dyDescent="0.3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spans="1:26" x14ac:dyDescent="0.3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spans="1:26" x14ac:dyDescent="0.3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spans="1:26" x14ac:dyDescent="0.3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spans="1:26" x14ac:dyDescent="0.3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spans="1:26" x14ac:dyDescent="0.3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spans="1:26" x14ac:dyDescent="0.3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spans="1:26" x14ac:dyDescent="0.3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spans="1:26" x14ac:dyDescent="0.3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spans="1:26" x14ac:dyDescent="0.3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spans="1:26" x14ac:dyDescent="0.3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spans="1:26" x14ac:dyDescent="0.3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spans="1:26" x14ac:dyDescent="0.3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spans="1:26" x14ac:dyDescent="0.3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spans="1:26" x14ac:dyDescent="0.3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spans="1:26" x14ac:dyDescent="0.3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spans="1:26" x14ac:dyDescent="0.3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spans="1:26" x14ac:dyDescent="0.3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spans="1:26" x14ac:dyDescent="0.3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spans="1:26" x14ac:dyDescent="0.3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spans="1:26" x14ac:dyDescent="0.3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spans="1:26" x14ac:dyDescent="0.3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spans="1:26" x14ac:dyDescent="0.3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spans="1:26" x14ac:dyDescent="0.3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spans="1:26" x14ac:dyDescent="0.3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spans="1:26" x14ac:dyDescent="0.3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spans="1:26" x14ac:dyDescent="0.3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spans="1:26" x14ac:dyDescent="0.3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spans="1:26" x14ac:dyDescent="0.3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spans="1:26" x14ac:dyDescent="0.3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spans="1:26" x14ac:dyDescent="0.3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spans="1:26" x14ac:dyDescent="0.3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spans="1:26" x14ac:dyDescent="0.3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spans="1:26" x14ac:dyDescent="0.3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spans="1:26" x14ac:dyDescent="0.3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spans="1:26" x14ac:dyDescent="0.3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spans="1:26" x14ac:dyDescent="0.3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spans="1:26" x14ac:dyDescent="0.3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spans="1:26" x14ac:dyDescent="0.3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spans="1:26" x14ac:dyDescent="0.3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spans="1:26" x14ac:dyDescent="0.3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spans="1:26" x14ac:dyDescent="0.3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spans="1:26" x14ac:dyDescent="0.3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spans="1:26" x14ac:dyDescent="0.3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spans="1:26" x14ac:dyDescent="0.3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spans="1:26" x14ac:dyDescent="0.3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spans="1:26" x14ac:dyDescent="0.3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spans="1:26" x14ac:dyDescent="0.3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spans="1:26" x14ac:dyDescent="0.3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spans="1:26" x14ac:dyDescent="0.3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spans="1:26" x14ac:dyDescent="0.3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spans="1:26" x14ac:dyDescent="0.3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spans="1:26" x14ac:dyDescent="0.3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spans="1:26" x14ac:dyDescent="0.3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spans="1:26" x14ac:dyDescent="0.3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spans="1:26" x14ac:dyDescent="0.3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spans="1:26" x14ac:dyDescent="0.3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spans="1:26" x14ac:dyDescent="0.3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spans="1:26" x14ac:dyDescent="0.3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spans="1:26" x14ac:dyDescent="0.3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spans="1:26" x14ac:dyDescent="0.3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spans="1:26" x14ac:dyDescent="0.3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spans="1:26" x14ac:dyDescent="0.3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spans="1:26" x14ac:dyDescent="0.3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spans="1:26" x14ac:dyDescent="0.3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spans="1:26" x14ac:dyDescent="0.3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spans="1:26" x14ac:dyDescent="0.3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spans="1:26" x14ac:dyDescent="0.3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spans="1:26" x14ac:dyDescent="0.3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spans="1:26" x14ac:dyDescent="0.3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spans="1:26" x14ac:dyDescent="0.3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spans="1:26" x14ac:dyDescent="0.3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spans="1:26" x14ac:dyDescent="0.3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spans="1:26" x14ac:dyDescent="0.3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spans="1:26" x14ac:dyDescent="0.3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spans="1:26" x14ac:dyDescent="0.3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spans="1:26" x14ac:dyDescent="0.3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spans="1:26" x14ac:dyDescent="0.3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spans="1:26" x14ac:dyDescent="0.3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spans="1:26" x14ac:dyDescent="0.3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spans="1:26" x14ac:dyDescent="0.3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spans="1:26" x14ac:dyDescent="0.3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spans="1:26" x14ac:dyDescent="0.3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spans="1:26" x14ac:dyDescent="0.3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spans="1:26" x14ac:dyDescent="0.3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spans="1:26" x14ac:dyDescent="0.3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spans="1:26" x14ac:dyDescent="0.3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spans="1:26" x14ac:dyDescent="0.3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spans="1:26" x14ac:dyDescent="0.3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spans="1:26" x14ac:dyDescent="0.3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spans="1:26" x14ac:dyDescent="0.3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spans="1:26" x14ac:dyDescent="0.3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spans="1:26" x14ac:dyDescent="0.3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spans="1:26" x14ac:dyDescent="0.3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spans="1:26" x14ac:dyDescent="0.3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spans="1:26" x14ac:dyDescent="0.3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spans="1:26" x14ac:dyDescent="0.3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spans="1:26" x14ac:dyDescent="0.3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spans="1:26" x14ac:dyDescent="0.3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spans="1:26" x14ac:dyDescent="0.3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spans="1:26" x14ac:dyDescent="0.3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spans="1:26" x14ac:dyDescent="0.3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spans="1:26" x14ac:dyDescent="0.3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spans="1:26" x14ac:dyDescent="0.3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spans="1:26" x14ac:dyDescent="0.3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spans="1:26" x14ac:dyDescent="0.3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spans="1:26" x14ac:dyDescent="0.3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spans="1:26" x14ac:dyDescent="0.3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spans="1:26" x14ac:dyDescent="0.3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spans="1:26" x14ac:dyDescent="0.3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spans="1:26" x14ac:dyDescent="0.3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spans="1:26" x14ac:dyDescent="0.3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spans="1:26" x14ac:dyDescent="0.3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spans="1:26" x14ac:dyDescent="0.3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spans="1:26" x14ac:dyDescent="0.3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spans="1:26" x14ac:dyDescent="0.3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spans="1:26" x14ac:dyDescent="0.3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spans="1:26" x14ac:dyDescent="0.3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spans="1:26" x14ac:dyDescent="0.3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spans="1:26" x14ac:dyDescent="0.3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spans="1:26" x14ac:dyDescent="0.3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spans="1:26" x14ac:dyDescent="0.3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spans="1:26" x14ac:dyDescent="0.3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spans="1:26" x14ac:dyDescent="0.3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spans="1:26" x14ac:dyDescent="0.3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spans="1:26" x14ac:dyDescent="0.3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spans="1:26" x14ac:dyDescent="0.3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spans="1:26" x14ac:dyDescent="0.3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spans="1:26" x14ac:dyDescent="0.3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spans="1:26" x14ac:dyDescent="0.3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spans="1:26" x14ac:dyDescent="0.3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spans="1:26" x14ac:dyDescent="0.3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spans="1:26" x14ac:dyDescent="0.3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spans="1:26" x14ac:dyDescent="0.3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spans="1:26" x14ac:dyDescent="0.3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spans="1:26" x14ac:dyDescent="0.3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spans="1:26" x14ac:dyDescent="0.3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spans="1:26" x14ac:dyDescent="0.3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spans="1:26" x14ac:dyDescent="0.3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spans="1:26" x14ac:dyDescent="0.3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spans="1:26" x14ac:dyDescent="0.3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spans="1:26" x14ac:dyDescent="0.3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spans="1:26" x14ac:dyDescent="0.3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spans="1:26" x14ac:dyDescent="0.3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spans="1:26" x14ac:dyDescent="0.3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spans="1:26" x14ac:dyDescent="0.3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spans="1:26" x14ac:dyDescent="0.3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spans="1:26" x14ac:dyDescent="0.3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spans="1:26" x14ac:dyDescent="0.3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spans="1:26" x14ac:dyDescent="0.3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spans="1:26" x14ac:dyDescent="0.3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spans="1:26" x14ac:dyDescent="0.3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spans="1:26" x14ac:dyDescent="0.3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spans="1:26" x14ac:dyDescent="0.3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spans="1:26" x14ac:dyDescent="0.3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spans="1:26" x14ac:dyDescent="0.3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spans="1:26" x14ac:dyDescent="0.3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spans="1:26" x14ac:dyDescent="0.3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spans="1:26" x14ac:dyDescent="0.3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spans="1:26" x14ac:dyDescent="0.3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spans="1:26" x14ac:dyDescent="0.3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spans="1:26" x14ac:dyDescent="0.3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spans="1:26" x14ac:dyDescent="0.3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spans="1:26" x14ac:dyDescent="0.3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spans="1:26" x14ac:dyDescent="0.3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spans="1:26" x14ac:dyDescent="0.3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spans="1:26" x14ac:dyDescent="0.3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spans="1:26" x14ac:dyDescent="0.3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spans="1:26" x14ac:dyDescent="0.3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spans="1:26" x14ac:dyDescent="0.3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spans="1:26" x14ac:dyDescent="0.3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spans="1:26" x14ac:dyDescent="0.3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spans="1:26" x14ac:dyDescent="0.3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spans="1:26" x14ac:dyDescent="0.3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spans="1:26" x14ac:dyDescent="0.3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spans="1:26" x14ac:dyDescent="0.3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spans="1:26" x14ac:dyDescent="0.3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spans="1:26" x14ac:dyDescent="0.3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spans="1:26" x14ac:dyDescent="0.3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spans="1:26" x14ac:dyDescent="0.3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spans="1:26" x14ac:dyDescent="0.3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spans="1:26" x14ac:dyDescent="0.3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spans="1:26" x14ac:dyDescent="0.3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spans="1:26" x14ac:dyDescent="0.3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spans="1:26" x14ac:dyDescent="0.3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spans="1:26" x14ac:dyDescent="0.3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spans="1:26" x14ac:dyDescent="0.3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spans="1:26" x14ac:dyDescent="0.3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spans="1:26" x14ac:dyDescent="0.3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spans="1:26" x14ac:dyDescent="0.3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spans="1:26" x14ac:dyDescent="0.3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spans="1:26" x14ac:dyDescent="0.3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spans="1:26" x14ac:dyDescent="0.3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spans="1:26" x14ac:dyDescent="0.3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spans="1:26" x14ac:dyDescent="0.3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spans="1:26" x14ac:dyDescent="0.3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spans="1:26" x14ac:dyDescent="0.3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spans="1:26" x14ac:dyDescent="0.3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spans="1:26" x14ac:dyDescent="0.3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spans="1:26" x14ac:dyDescent="0.3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spans="1:26" x14ac:dyDescent="0.3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spans="1:26" x14ac:dyDescent="0.3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spans="1:26" x14ac:dyDescent="0.3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spans="1:26" x14ac:dyDescent="0.3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spans="1:26" x14ac:dyDescent="0.3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spans="1:26" x14ac:dyDescent="0.3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spans="1:26" x14ac:dyDescent="0.3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spans="1:26" x14ac:dyDescent="0.3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spans="1:26" x14ac:dyDescent="0.3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spans="1:26" x14ac:dyDescent="0.3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spans="1:26" x14ac:dyDescent="0.3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spans="1:26" x14ac:dyDescent="0.3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spans="1:26" x14ac:dyDescent="0.3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spans="1:26" x14ac:dyDescent="0.3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spans="1:26" x14ac:dyDescent="0.3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spans="1:26" x14ac:dyDescent="0.3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spans="1:26" x14ac:dyDescent="0.3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spans="1:26" x14ac:dyDescent="0.3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spans="1:26" x14ac:dyDescent="0.3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spans="1:26" x14ac:dyDescent="0.3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spans="1:26" x14ac:dyDescent="0.3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spans="1:26" x14ac:dyDescent="0.3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spans="1:26" x14ac:dyDescent="0.3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spans="1:26" x14ac:dyDescent="0.3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spans="1:26" x14ac:dyDescent="0.3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spans="1:26" x14ac:dyDescent="0.3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spans="1:26" x14ac:dyDescent="0.3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spans="1:26" x14ac:dyDescent="0.3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spans="1:26" x14ac:dyDescent="0.3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spans="1:26" x14ac:dyDescent="0.3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spans="1:26" x14ac:dyDescent="0.3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spans="1:26" x14ac:dyDescent="0.3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spans="1:26" x14ac:dyDescent="0.3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spans="1:26" x14ac:dyDescent="0.3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spans="1:26" x14ac:dyDescent="0.3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spans="1:26" x14ac:dyDescent="0.3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spans="1:26" x14ac:dyDescent="0.3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spans="1:26" x14ac:dyDescent="0.3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spans="1:26" x14ac:dyDescent="0.3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spans="1:26" x14ac:dyDescent="0.3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spans="1:26" x14ac:dyDescent="0.3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spans="1:26" x14ac:dyDescent="0.3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spans="1:26" x14ac:dyDescent="0.3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spans="1:26" x14ac:dyDescent="0.3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spans="1:26" x14ac:dyDescent="0.3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spans="1:26" x14ac:dyDescent="0.3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spans="1:26" x14ac:dyDescent="0.3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spans="1:26" x14ac:dyDescent="0.3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spans="1:26" x14ac:dyDescent="0.3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spans="1:26" x14ac:dyDescent="0.3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spans="1:26" x14ac:dyDescent="0.3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spans="1:26" x14ac:dyDescent="0.3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spans="1:26" x14ac:dyDescent="0.3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spans="1:26" x14ac:dyDescent="0.3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spans="1:26" x14ac:dyDescent="0.3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spans="1:26" x14ac:dyDescent="0.3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spans="1:26" x14ac:dyDescent="0.3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spans="1:26" x14ac:dyDescent="0.3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spans="1:26" x14ac:dyDescent="0.3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spans="1:26" x14ac:dyDescent="0.3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spans="1:26" x14ac:dyDescent="0.3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spans="1:26" x14ac:dyDescent="0.3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spans="1:26" x14ac:dyDescent="0.3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spans="1:26" x14ac:dyDescent="0.3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spans="1:26" x14ac:dyDescent="0.3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spans="1:26" x14ac:dyDescent="0.3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spans="1:26" x14ac:dyDescent="0.3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spans="1:26" x14ac:dyDescent="0.3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spans="1:26" x14ac:dyDescent="0.3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spans="1:26" x14ac:dyDescent="0.3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spans="1:26" x14ac:dyDescent="0.3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spans="1:26" x14ac:dyDescent="0.3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spans="1:26" x14ac:dyDescent="0.3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spans="1:26" x14ac:dyDescent="0.3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spans="1:26" x14ac:dyDescent="0.3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spans="1:26" x14ac:dyDescent="0.3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spans="1:26" x14ac:dyDescent="0.3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spans="1:26" x14ac:dyDescent="0.3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spans="1:26" x14ac:dyDescent="0.3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spans="1:26" x14ac:dyDescent="0.3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spans="1:26" x14ac:dyDescent="0.3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spans="1:26" x14ac:dyDescent="0.3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spans="1:26" x14ac:dyDescent="0.3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spans="1:26" x14ac:dyDescent="0.3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spans="1:26" x14ac:dyDescent="0.3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spans="1:26" x14ac:dyDescent="0.3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spans="1:26" x14ac:dyDescent="0.3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spans="1:26" x14ac:dyDescent="0.3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spans="1:26" x14ac:dyDescent="0.3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spans="1:26" x14ac:dyDescent="0.3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spans="1:26" x14ac:dyDescent="0.3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spans="1:26" x14ac:dyDescent="0.3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spans="1:26" x14ac:dyDescent="0.3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spans="1:26" x14ac:dyDescent="0.3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spans="1:26" x14ac:dyDescent="0.3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spans="1:26" x14ac:dyDescent="0.3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spans="1:26" x14ac:dyDescent="0.3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spans="1:26" x14ac:dyDescent="0.3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spans="1:26" x14ac:dyDescent="0.3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spans="1:26" x14ac:dyDescent="0.3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spans="1:26" x14ac:dyDescent="0.3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spans="1:26" x14ac:dyDescent="0.3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spans="1:26" x14ac:dyDescent="0.3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spans="1:26" x14ac:dyDescent="0.3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spans="1:26" x14ac:dyDescent="0.3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spans="1:26" x14ac:dyDescent="0.3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spans="1:26" x14ac:dyDescent="0.3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spans="1:26" x14ac:dyDescent="0.3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spans="1:26" x14ac:dyDescent="0.3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spans="1:26" x14ac:dyDescent="0.3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spans="1:26" x14ac:dyDescent="0.3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spans="1:26" x14ac:dyDescent="0.3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spans="1:26" x14ac:dyDescent="0.3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spans="1:26" x14ac:dyDescent="0.3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spans="1:26" x14ac:dyDescent="0.3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spans="1:26" x14ac:dyDescent="0.3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spans="1:26" x14ac:dyDescent="0.3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spans="1:26" x14ac:dyDescent="0.3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spans="1:26" x14ac:dyDescent="0.3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spans="1:26" x14ac:dyDescent="0.3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spans="1:26" x14ac:dyDescent="0.3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spans="1:26" x14ac:dyDescent="0.3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spans="1:26" x14ac:dyDescent="0.3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spans="1:26" x14ac:dyDescent="0.3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spans="1:26" x14ac:dyDescent="0.3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spans="1:26" x14ac:dyDescent="0.3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spans="1:26" x14ac:dyDescent="0.3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spans="1:26" x14ac:dyDescent="0.3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spans="1:26" x14ac:dyDescent="0.3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spans="1:26" x14ac:dyDescent="0.3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spans="1:26" x14ac:dyDescent="0.3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spans="1:26" x14ac:dyDescent="0.3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spans="1:26" x14ac:dyDescent="0.3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spans="1:26" x14ac:dyDescent="0.3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spans="1:26" x14ac:dyDescent="0.3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spans="1:26" x14ac:dyDescent="0.3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spans="1:26" x14ac:dyDescent="0.3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spans="1:26" x14ac:dyDescent="0.3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spans="1:26" x14ac:dyDescent="0.3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spans="1:26" x14ac:dyDescent="0.3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spans="1:26" x14ac:dyDescent="0.3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spans="1:26" x14ac:dyDescent="0.3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spans="1:26" x14ac:dyDescent="0.3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spans="1:26" x14ac:dyDescent="0.3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spans="1:26" x14ac:dyDescent="0.3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spans="1:26" x14ac:dyDescent="0.3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spans="1:26" x14ac:dyDescent="0.3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spans="1:26" x14ac:dyDescent="0.3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spans="1:26" x14ac:dyDescent="0.3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spans="1:26" x14ac:dyDescent="0.3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spans="1:26" x14ac:dyDescent="0.3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spans="1:26" x14ac:dyDescent="0.3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spans="1:26" x14ac:dyDescent="0.3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spans="1:26" x14ac:dyDescent="0.3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spans="1:26" x14ac:dyDescent="0.3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spans="1:26" x14ac:dyDescent="0.3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spans="1:26" x14ac:dyDescent="0.3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spans="1:26" x14ac:dyDescent="0.3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spans="1:26" x14ac:dyDescent="0.3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spans="1:26" x14ac:dyDescent="0.3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spans="1:26" x14ac:dyDescent="0.3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spans="1:26" x14ac:dyDescent="0.3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spans="1:26" x14ac:dyDescent="0.3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spans="1:26" x14ac:dyDescent="0.3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spans="1:26" x14ac:dyDescent="0.3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spans="1:26" x14ac:dyDescent="0.3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spans="1:26" x14ac:dyDescent="0.3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spans="1:26" x14ac:dyDescent="0.3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spans="1:26" x14ac:dyDescent="0.3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spans="1:26" x14ac:dyDescent="0.3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spans="1:26" x14ac:dyDescent="0.3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spans="1:26" x14ac:dyDescent="0.3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spans="1:26" x14ac:dyDescent="0.3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spans="1:26" x14ac:dyDescent="0.3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spans="1:26" x14ac:dyDescent="0.3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spans="1:26" x14ac:dyDescent="0.3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spans="1:26" x14ac:dyDescent="0.3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spans="1:26" x14ac:dyDescent="0.3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spans="1:26" x14ac:dyDescent="0.3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spans="1:26" x14ac:dyDescent="0.3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spans="1:26" x14ac:dyDescent="0.3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spans="1:26" x14ac:dyDescent="0.3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spans="1:26" x14ac:dyDescent="0.3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spans="1:26" x14ac:dyDescent="0.3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spans="1:26" x14ac:dyDescent="0.3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spans="1:26" x14ac:dyDescent="0.3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spans="1:26" x14ac:dyDescent="0.3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spans="1:26" x14ac:dyDescent="0.3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spans="1:26" x14ac:dyDescent="0.3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spans="1:26" x14ac:dyDescent="0.3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spans="1:26" x14ac:dyDescent="0.3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spans="1:26" x14ac:dyDescent="0.3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spans="1:26" x14ac:dyDescent="0.3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spans="1:26" x14ac:dyDescent="0.3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spans="1:26" x14ac:dyDescent="0.3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spans="1:26" x14ac:dyDescent="0.3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spans="1:26" x14ac:dyDescent="0.3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spans="1:26" x14ac:dyDescent="0.3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spans="1:26" x14ac:dyDescent="0.3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spans="1:26" x14ac:dyDescent="0.3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spans="1:26" x14ac:dyDescent="0.3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spans="1:26" x14ac:dyDescent="0.3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spans="1:26" x14ac:dyDescent="0.3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spans="1:26" x14ac:dyDescent="0.3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spans="1:26" x14ac:dyDescent="0.3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spans="1:26" x14ac:dyDescent="0.3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spans="1:26" x14ac:dyDescent="0.3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spans="1:26" x14ac:dyDescent="0.3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spans="1:26" x14ac:dyDescent="0.3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spans="1:26" x14ac:dyDescent="0.3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spans="1:26" x14ac:dyDescent="0.3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spans="1:26" x14ac:dyDescent="0.3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spans="1:26" x14ac:dyDescent="0.3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spans="1:26" x14ac:dyDescent="0.3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spans="1:26" x14ac:dyDescent="0.3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spans="1:26" x14ac:dyDescent="0.3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spans="1:26" x14ac:dyDescent="0.3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spans="1:26" x14ac:dyDescent="0.3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spans="1:26" x14ac:dyDescent="0.3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spans="1:26" x14ac:dyDescent="0.3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spans="1:26" x14ac:dyDescent="0.3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spans="1:26" x14ac:dyDescent="0.3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spans="1:26" x14ac:dyDescent="0.3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spans="1:26" x14ac:dyDescent="0.3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spans="1:26" x14ac:dyDescent="0.3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spans="1:26" x14ac:dyDescent="0.3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spans="1:26" x14ac:dyDescent="0.3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spans="1:26" x14ac:dyDescent="0.3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spans="1:26" x14ac:dyDescent="0.3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spans="1:26" x14ac:dyDescent="0.3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spans="1:26" x14ac:dyDescent="0.3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spans="1:26" x14ac:dyDescent="0.3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spans="1:26" x14ac:dyDescent="0.3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spans="1:26" x14ac:dyDescent="0.3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spans="1:26" x14ac:dyDescent="0.3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spans="1:26" x14ac:dyDescent="0.3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spans="1:26" x14ac:dyDescent="0.3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spans="1:26" x14ac:dyDescent="0.3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spans="1:26" x14ac:dyDescent="0.3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spans="1:26" x14ac:dyDescent="0.3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spans="1:26" x14ac:dyDescent="0.3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spans="1:26" x14ac:dyDescent="0.3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spans="1:26" x14ac:dyDescent="0.3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spans="1:26" x14ac:dyDescent="0.3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spans="1:26" x14ac:dyDescent="0.3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spans="1:26" x14ac:dyDescent="0.3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spans="1:26" x14ac:dyDescent="0.3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spans="1:26" x14ac:dyDescent="0.3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spans="1:26" x14ac:dyDescent="0.3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spans="1:26" x14ac:dyDescent="0.3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spans="1:26" x14ac:dyDescent="0.3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spans="1:26" x14ac:dyDescent="0.3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spans="1:26" x14ac:dyDescent="0.3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spans="1:26" x14ac:dyDescent="0.3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spans="1:26" x14ac:dyDescent="0.3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spans="1:26" x14ac:dyDescent="0.3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spans="1:26" x14ac:dyDescent="0.3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spans="1:26" x14ac:dyDescent="0.3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spans="1:26" x14ac:dyDescent="0.3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spans="1:26" x14ac:dyDescent="0.3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spans="1:26" x14ac:dyDescent="0.3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spans="1:26" x14ac:dyDescent="0.3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spans="1:26" x14ac:dyDescent="0.3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spans="1:26" x14ac:dyDescent="0.3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spans="1:26" x14ac:dyDescent="0.3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spans="1:26" x14ac:dyDescent="0.3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spans="1:26" x14ac:dyDescent="0.3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spans="1:26" x14ac:dyDescent="0.3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spans="1:26" x14ac:dyDescent="0.3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 spans="1:26" x14ac:dyDescent="0.3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 spans="1:26" x14ac:dyDescent="0.3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 spans="1:26" x14ac:dyDescent="0.3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 spans="1:26" x14ac:dyDescent="0.3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 spans="1:26" x14ac:dyDescent="0.3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 spans="1:26" x14ac:dyDescent="0.3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 spans="1:26" x14ac:dyDescent="0.3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 spans="1:26" x14ac:dyDescent="0.3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 spans="1:26" x14ac:dyDescent="0.3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 spans="1:26" x14ac:dyDescent="0.3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 spans="1:26" x14ac:dyDescent="0.3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 spans="1:26" x14ac:dyDescent="0.3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 spans="1:26" x14ac:dyDescent="0.3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 spans="1:26" x14ac:dyDescent="0.3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 spans="1:26" x14ac:dyDescent="0.3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 spans="1:26" x14ac:dyDescent="0.3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 spans="1:26" x14ac:dyDescent="0.3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 spans="1:26" x14ac:dyDescent="0.3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 spans="1:26" x14ac:dyDescent="0.3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 spans="1:26" x14ac:dyDescent="0.3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 spans="1:26" x14ac:dyDescent="0.3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 spans="1:26" x14ac:dyDescent="0.3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 spans="1:26" x14ac:dyDescent="0.3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 spans="1:26" x14ac:dyDescent="0.3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 spans="1:26" x14ac:dyDescent="0.3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 spans="1:26" x14ac:dyDescent="0.3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 spans="1:26" x14ac:dyDescent="0.3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 spans="1:26" x14ac:dyDescent="0.3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 spans="1:26" x14ac:dyDescent="0.3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 spans="1:26" x14ac:dyDescent="0.3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 spans="1:26" x14ac:dyDescent="0.3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 spans="1:26" x14ac:dyDescent="0.3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 spans="1:26" x14ac:dyDescent="0.3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 spans="1:26" x14ac:dyDescent="0.3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 spans="1:26" x14ac:dyDescent="0.3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 spans="1:26" x14ac:dyDescent="0.3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 spans="1:26" x14ac:dyDescent="0.3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 spans="1:26" x14ac:dyDescent="0.3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 spans="1:26" x14ac:dyDescent="0.3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 spans="1:26" x14ac:dyDescent="0.3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 spans="1:26" x14ac:dyDescent="0.3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 spans="1:26" x14ac:dyDescent="0.3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 spans="1:26" x14ac:dyDescent="0.3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 spans="1:26" x14ac:dyDescent="0.3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 spans="1:26" x14ac:dyDescent="0.3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 spans="1:26" x14ac:dyDescent="0.3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 spans="1:26" x14ac:dyDescent="0.3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 spans="1:26" x14ac:dyDescent="0.3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 spans="1:26" x14ac:dyDescent="0.3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 spans="1:26" x14ac:dyDescent="0.3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 spans="1:26" x14ac:dyDescent="0.3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 spans="1:26" x14ac:dyDescent="0.3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 spans="1:26" x14ac:dyDescent="0.3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 spans="1:26" x14ac:dyDescent="0.3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 spans="1:26" x14ac:dyDescent="0.3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 spans="1:26" x14ac:dyDescent="0.3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 spans="1:26" x14ac:dyDescent="0.3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 spans="1:26" x14ac:dyDescent="0.3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 spans="1:26" x14ac:dyDescent="0.3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 spans="1:26" x14ac:dyDescent="0.3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 spans="1:26" x14ac:dyDescent="0.3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 spans="1:26" x14ac:dyDescent="0.3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 spans="1:26" x14ac:dyDescent="0.3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 spans="1:26" x14ac:dyDescent="0.3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 spans="1:26" x14ac:dyDescent="0.3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 spans="1:26" x14ac:dyDescent="0.3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 spans="1:26" x14ac:dyDescent="0.3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 spans="1:26" x14ac:dyDescent="0.3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 spans="1:26" x14ac:dyDescent="0.3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 spans="1:26" x14ac:dyDescent="0.3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 spans="1:26" x14ac:dyDescent="0.3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 spans="1:26" x14ac:dyDescent="0.3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 spans="1:26" x14ac:dyDescent="0.3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 spans="1:26" x14ac:dyDescent="0.3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 spans="1:26" x14ac:dyDescent="0.3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 spans="1:26" x14ac:dyDescent="0.3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 spans="1:26" x14ac:dyDescent="0.3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 spans="1:26" x14ac:dyDescent="0.3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 spans="1:26" x14ac:dyDescent="0.3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 spans="1:26" x14ac:dyDescent="0.3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 spans="1:26" x14ac:dyDescent="0.3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 spans="1:26" x14ac:dyDescent="0.3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 spans="1:26" x14ac:dyDescent="0.3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 spans="1:26" x14ac:dyDescent="0.3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 spans="1:26" x14ac:dyDescent="0.3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 spans="1:26" x14ac:dyDescent="0.3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 spans="1:26" x14ac:dyDescent="0.3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 spans="1:26" x14ac:dyDescent="0.3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 spans="1:26" x14ac:dyDescent="0.3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 spans="1:26" x14ac:dyDescent="0.3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 spans="1:26" x14ac:dyDescent="0.3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 spans="1:26" x14ac:dyDescent="0.3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 spans="1:26" x14ac:dyDescent="0.3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 spans="1:26" x14ac:dyDescent="0.3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 spans="1:26" x14ac:dyDescent="0.3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 spans="1:26" x14ac:dyDescent="0.3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 spans="1:26" x14ac:dyDescent="0.3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 spans="1:26" x14ac:dyDescent="0.3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 spans="1:26" x14ac:dyDescent="0.3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 spans="1:26" x14ac:dyDescent="0.3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 spans="1:26" x14ac:dyDescent="0.3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 spans="1:26" x14ac:dyDescent="0.3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 spans="1:26" x14ac:dyDescent="0.3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 spans="1:26" x14ac:dyDescent="0.3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 spans="1:26" x14ac:dyDescent="0.3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 spans="1:26" x14ac:dyDescent="0.3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 spans="1:26" x14ac:dyDescent="0.3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 spans="1:26" x14ac:dyDescent="0.3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 spans="1:26" x14ac:dyDescent="0.3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 spans="1:26" x14ac:dyDescent="0.3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 spans="1:26" x14ac:dyDescent="0.3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 spans="1:26" x14ac:dyDescent="0.3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r:id="rId1" location="'Category'!A1" xr:uid="{00000000-0004-0000-0100-000000000000}"/>
    <hyperlink ref="D10" r:id="rId2" location="'Manufacturer'!A1" xr:uid="{00000000-0004-0000-0100-000001000000}"/>
    <hyperlink ref="D11" r:id="rId3" location="'Supplier'!A1" xr:uid="{00000000-0004-0000-0100-000002000000}"/>
  </hyperlink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H7" sqref="H7"/>
    </sheetView>
  </sheetViews>
  <sheetFormatPr defaultColWidth="14.44140625" defaultRowHeight="15" customHeight="1" x14ac:dyDescent="0.3"/>
  <cols>
    <col min="1" max="3" width="17.88671875" customWidth="1"/>
    <col min="4" max="4" width="60" customWidth="1"/>
    <col min="5" max="5" width="12.33203125" customWidth="1"/>
    <col min="6" max="6" width="31.44140625" customWidth="1"/>
    <col min="7" max="26" width="9.109375" customWidth="1"/>
  </cols>
  <sheetData>
    <row r="1" spans="1:26" ht="26.4" x14ac:dyDescent="0.3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47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6.4" x14ac:dyDescent="0.3">
      <c r="A2" s="14" t="s">
        <v>48</v>
      </c>
      <c r="B2" s="14" t="s">
        <v>49</v>
      </c>
      <c r="C2" s="14" t="s">
        <v>50</v>
      </c>
      <c r="D2" s="17" t="s">
        <v>51</v>
      </c>
      <c r="E2" s="18" t="s">
        <v>52</v>
      </c>
      <c r="F2" s="17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2"/>
      <c r="B3" s="22" t="s">
        <v>53</v>
      </c>
      <c r="C3" s="22" t="s">
        <v>54</v>
      </c>
      <c r="D3" s="17" t="s">
        <v>55</v>
      </c>
      <c r="E3" s="18" t="s">
        <v>52</v>
      </c>
      <c r="F3" s="17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2"/>
      <c r="B4" s="22" t="s">
        <v>56</v>
      </c>
      <c r="C4" s="25" t="s">
        <v>57</v>
      </c>
      <c r="D4" s="17" t="s">
        <v>58</v>
      </c>
      <c r="E4" s="18" t="s">
        <v>59</v>
      </c>
      <c r="F4" s="17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2"/>
      <c r="B5" s="22"/>
      <c r="C5" s="14" t="s">
        <v>60</v>
      </c>
      <c r="D5" s="17" t="s">
        <v>61</v>
      </c>
      <c r="E5" s="18" t="s">
        <v>59</v>
      </c>
      <c r="F5" s="17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2"/>
      <c r="B6" s="22"/>
      <c r="C6" s="22" t="s">
        <v>62</v>
      </c>
      <c r="D6" s="17" t="s">
        <v>63</v>
      </c>
      <c r="E6" s="18" t="s">
        <v>59</v>
      </c>
      <c r="F6" s="17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2"/>
      <c r="B7" s="22"/>
      <c r="C7" s="25" t="s">
        <v>64</v>
      </c>
      <c r="D7" s="17" t="s">
        <v>65</v>
      </c>
      <c r="E7" s="18" t="s">
        <v>59</v>
      </c>
      <c r="F7" s="17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4" x14ac:dyDescent="0.3">
      <c r="A8" s="22"/>
      <c r="B8" s="22" t="s">
        <v>66</v>
      </c>
      <c r="C8" s="14" t="s">
        <v>67</v>
      </c>
      <c r="D8" s="17" t="s">
        <v>68</v>
      </c>
      <c r="E8" s="18" t="s">
        <v>59</v>
      </c>
      <c r="F8" s="17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2"/>
      <c r="B9" s="22" t="s">
        <v>69</v>
      </c>
      <c r="C9" s="22" t="s">
        <v>70</v>
      </c>
      <c r="D9" s="17" t="s">
        <v>71</v>
      </c>
      <c r="E9" s="18" t="s">
        <v>59</v>
      </c>
      <c r="F9" s="17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4.4" x14ac:dyDescent="0.3">
      <c r="A10" s="22"/>
      <c r="B10" s="22" t="s">
        <v>50</v>
      </c>
      <c r="C10" s="22" t="s">
        <v>72</v>
      </c>
      <c r="D10" s="17" t="s">
        <v>73</v>
      </c>
      <c r="E10" s="18" t="s">
        <v>59</v>
      </c>
      <c r="F10" s="17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4.4" x14ac:dyDescent="0.3">
      <c r="A11" s="22"/>
      <c r="B11" s="25" t="s">
        <v>74</v>
      </c>
      <c r="C11" s="25" t="s">
        <v>75</v>
      </c>
      <c r="D11" s="17" t="s">
        <v>76</v>
      </c>
      <c r="E11" s="18" t="s">
        <v>59</v>
      </c>
      <c r="F11" s="17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6.4" x14ac:dyDescent="0.3">
      <c r="A12" s="25" t="s">
        <v>77</v>
      </c>
      <c r="B12" s="18" t="s">
        <v>49</v>
      </c>
      <c r="C12" s="18" t="s">
        <v>78</v>
      </c>
      <c r="D12" s="17" t="s">
        <v>79</v>
      </c>
      <c r="E12" s="18" t="s">
        <v>52</v>
      </c>
      <c r="F12" s="17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4.4" x14ac:dyDescent="0.3">
      <c r="A13" s="14"/>
      <c r="B13" s="14" t="s">
        <v>56</v>
      </c>
      <c r="C13" s="14" t="s">
        <v>80</v>
      </c>
      <c r="D13" s="17" t="s">
        <v>81</v>
      </c>
      <c r="E13" s="18" t="s">
        <v>59</v>
      </c>
      <c r="F13" s="17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4.4" x14ac:dyDescent="0.3">
      <c r="A14" s="22"/>
      <c r="B14" s="22" t="s">
        <v>66</v>
      </c>
      <c r="C14" s="22" t="s">
        <v>82</v>
      </c>
      <c r="D14" s="17" t="s">
        <v>83</v>
      </c>
      <c r="E14" s="18" t="s">
        <v>59</v>
      </c>
      <c r="F14" s="17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4.4" x14ac:dyDescent="0.3">
      <c r="A15" s="22"/>
      <c r="B15" s="22" t="s">
        <v>74</v>
      </c>
      <c r="C15" s="22" t="s">
        <v>75</v>
      </c>
      <c r="D15" s="17" t="s">
        <v>84</v>
      </c>
      <c r="E15" s="18" t="s">
        <v>59</v>
      </c>
      <c r="F15" s="17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4.4" x14ac:dyDescent="0.3">
      <c r="A16" s="22"/>
      <c r="B16" s="22" t="s">
        <v>50</v>
      </c>
      <c r="C16" s="25" t="s">
        <v>85</v>
      </c>
      <c r="D16" s="17" t="s">
        <v>86</v>
      </c>
      <c r="E16" s="18" t="s">
        <v>59</v>
      </c>
      <c r="F16" s="17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4" x14ac:dyDescent="0.3">
      <c r="A17" s="22" t="s">
        <v>87</v>
      </c>
      <c r="B17" s="22" t="s">
        <v>49</v>
      </c>
      <c r="C17" s="14" t="s">
        <v>78</v>
      </c>
      <c r="D17" s="17" t="s">
        <v>88</v>
      </c>
      <c r="E17" s="18" t="s">
        <v>52</v>
      </c>
      <c r="F17" s="17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4.4" x14ac:dyDescent="0.3">
      <c r="A18" s="22"/>
      <c r="B18" s="22" t="s">
        <v>56</v>
      </c>
      <c r="C18" s="22" t="s">
        <v>80</v>
      </c>
      <c r="D18" s="17" t="s">
        <v>89</v>
      </c>
      <c r="E18" s="18" t="s">
        <v>59</v>
      </c>
      <c r="F18" s="17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4.4" x14ac:dyDescent="0.3">
      <c r="A19" s="22"/>
      <c r="B19" s="22" t="s">
        <v>66</v>
      </c>
      <c r="C19" s="22" t="s">
        <v>82</v>
      </c>
      <c r="D19" s="17" t="s">
        <v>90</v>
      </c>
      <c r="E19" s="18" t="s">
        <v>59</v>
      </c>
      <c r="F19" s="17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4.4" x14ac:dyDescent="0.3">
      <c r="A20" s="22"/>
      <c r="B20" s="22" t="s">
        <v>91</v>
      </c>
      <c r="C20" s="22" t="s">
        <v>92</v>
      </c>
      <c r="D20" s="17" t="s">
        <v>93</v>
      </c>
      <c r="E20" s="18" t="s">
        <v>59</v>
      </c>
      <c r="F20" s="1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4.4" x14ac:dyDescent="0.3">
      <c r="A21" s="22"/>
      <c r="B21" s="22" t="s">
        <v>50</v>
      </c>
      <c r="C21" s="22" t="s">
        <v>85</v>
      </c>
      <c r="D21" s="17" t="s">
        <v>86</v>
      </c>
      <c r="E21" s="18" t="s">
        <v>59</v>
      </c>
      <c r="F21" s="17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4.25" customHeight="1" x14ac:dyDescent="0.3">
      <c r="A22" s="22"/>
      <c r="B22" s="22"/>
      <c r="C22" s="22"/>
      <c r="D22" s="17"/>
      <c r="E22" s="18"/>
      <c r="F22" s="17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4.25" customHeight="1" x14ac:dyDescent="0.3">
      <c r="A23" s="22"/>
      <c r="B23" s="22"/>
      <c r="C23" s="22"/>
      <c r="D23" s="17"/>
      <c r="E23" s="18"/>
      <c r="F23" s="1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4.25" customHeight="1" x14ac:dyDescent="0.3">
      <c r="A24" s="22"/>
      <c r="B24" s="22"/>
      <c r="C24" s="25"/>
      <c r="D24" s="17"/>
      <c r="E24" s="18"/>
      <c r="F24" s="17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4.25" customHeight="1" x14ac:dyDescent="0.3">
      <c r="A25" s="22"/>
      <c r="B25" s="22"/>
      <c r="C25" s="14"/>
      <c r="D25" s="17"/>
      <c r="E25" s="18"/>
      <c r="F25" s="17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4.25" customHeight="1" x14ac:dyDescent="0.3">
      <c r="A26" s="22"/>
      <c r="B26" s="22"/>
      <c r="C26" s="22"/>
      <c r="D26" s="17"/>
      <c r="E26" s="18"/>
      <c r="F26" s="17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4.25" customHeight="1" x14ac:dyDescent="0.3">
      <c r="A27" s="22"/>
      <c r="B27" s="22"/>
      <c r="C27" s="22"/>
      <c r="D27" s="17"/>
      <c r="E27" s="18"/>
      <c r="F27" s="17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4.25" customHeight="1" x14ac:dyDescent="0.3">
      <c r="A28" s="22"/>
      <c r="B28" s="22"/>
      <c r="C28" s="22"/>
      <c r="D28" s="17"/>
      <c r="E28" s="18"/>
      <c r="F28" s="17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4.25" customHeight="1" x14ac:dyDescent="0.3">
      <c r="A29" s="22"/>
      <c r="B29" s="22"/>
      <c r="C29" s="25"/>
      <c r="D29" s="17"/>
      <c r="E29" s="18"/>
      <c r="F29" s="17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4.25" customHeight="1" x14ac:dyDescent="0.3">
      <c r="A30" s="22"/>
      <c r="B30" s="22"/>
      <c r="C30" s="14"/>
      <c r="D30" s="17"/>
      <c r="E30" s="18"/>
      <c r="F30" s="17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4.25" customHeight="1" x14ac:dyDescent="0.3">
      <c r="A31" s="22"/>
      <c r="B31" s="22"/>
      <c r="C31" s="22"/>
      <c r="D31" s="17"/>
      <c r="E31" s="18"/>
      <c r="F31" s="17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4.25" customHeight="1" x14ac:dyDescent="0.3">
      <c r="A32" s="22"/>
      <c r="B32" s="22"/>
      <c r="C32" s="22"/>
      <c r="D32" s="17"/>
      <c r="E32" s="18"/>
      <c r="F32" s="17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4.25" customHeight="1" x14ac:dyDescent="0.3">
      <c r="A33" s="22"/>
      <c r="B33" s="22"/>
      <c r="C33" s="25"/>
      <c r="D33" s="17"/>
      <c r="E33" s="18"/>
      <c r="F33" s="17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4.25" customHeight="1" x14ac:dyDescent="0.3">
      <c r="A34" s="22"/>
      <c r="B34" s="22"/>
      <c r="C34" s="14"/>
      <c r="D34" s="17"/>
      <c r="E34" s="18"/>
      <c r="F34" s="17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4.25" customHeight="1" x14ac:dyDescent="0.3">
      <c r="A35" s="22"/>
      <c r="B35" s="22"/>
      <c r="C35" s="22"/>
      <c r="D35" s="17"/>
      <c r="E35" s="18"/>
      <c r="F35" s="17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3">
      <c r="A36" s="22"/>
      <c r="B36" s="25"/>
      <c r="C36" s="25"/>
      <c r="D36" s="17"/>
      <c r="E36" s="18"/>
      <c r="F36" s="17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25.5" customHeight="1" x14ac:dyDescent="0.3">
      <c r="A37" s="22"/>
      <c r="B37" s="14"/>
      <c r="C37" s="14"/>
      <c r="D37" s="17"/>
      <c r="E37" s="17"/>
      <c r="F37" s="17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3">
      <c r="A38" s="22"/>
      <c r="B38" s="22"/>
      <c r="C38" s="22"/>
      <c r="D38" s="17"/>
      <c r="E38" s="17"/>
      <c r="F38" s="17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3">
      <c r="A39" s="22"/>
      <c r="B39" s="22"/>
      <c r="C39" s="22"/>
      <c r="D39" s="17"/>
      <c r="E39" s="17"/>
      <c r="F39" s="17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3">
      <c r="A40" s="22"/>
      <c r="B40" s="22"/>
      <c r="C40" s="25"/>
      <c r="D40" s="17"/>
      <c r="E40" s="17"/>
      <c r="F40" s="17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3">
      <c r="A41" s="22"/>
      <c r="B41" s="22"/>
      <c r="C41" s="14"/>
      <c r="D41" s="17"/>
      <c r="E41" s="17"/>
      <c r="F41" s="17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3">
      <c r="A42" s="22"/>
      <c r="B42" s="22"/>
      <c r="C42" s="22"/>
      <c r="D42" s="17"/>
      <c r="E42" s="17"/>
      <c r="F42" s="17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3">
      <c r="A43" s="22"/>
      <c r="B43" s="22"/>
      <c r="C43" s="22"/>
      <c r="D43" s="17"/>
      <c r="E43" s="17"/>
      <c r="F43" s="17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3">
      <c r="A44" s="22"/>
      <c r="B44" s="22"/>
      <c r="C44" s="22"/>
      <c r="D44" s="17"/>
      <c r="E44" s="17"/>
      <c r="F44" s="17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3">
      <c r="A45" s="22"/>
      <c r="B45" s="22"/>
      <c r="C45" s="22"/>
      <c r="D45" s="17"/>
      <c r="E45" s="17"/>
      <c r="F45" s="17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3">
      <c r="A46" s="22"/>
      <c r="B46" s="22"/>
      <c r="C46" s="25"/>
      <c r="D46" s="17"/>
      <c r="E46" s="17"/>
      <c r="F46" s="17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25.5" customHeight="1" x14ac:dyDescent="0.3">
      <c r="A47" s="22"/>
      <c r="B47" s="22"/>
      <c r="C47" s="18"/>
      <c r="D47" s="17"/>
      <c r="E47" s="17"/>
      <c r="F47" s="17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3">
      <c r="A48" s="22"/>
      <c r="B48" s="22"/>
      <c r="C48" s="14"/>
      <c r="D48" s="67"/>
      <c r="E48" s="17"/>
      <c r="F48" s="17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3">
      <c r="A49" s="22"/>
      <c r="B49" s="22"/>
      <c r="C49" s="22"/>
      <c r="D49" s="17"/>
      <c r="E49" s="17"/>
      <c r="F49" s="17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3">
      <c r="A50" s="22"/>
      <c r="B50" s="22"/>
      <c r="C50" s="25"/>
      <c r="D50" s="17"/>
      <c r="E50" s="17"/>
      <c r="F50" s="17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3">
      <c r="A51" s="22"/>
      <c r="B51" s="22"/>
      <c r="C51" s="14"/>
      <c r="D51" s="67"/>
      <c r="E51" s="17"/>
      <c r="F51" s="17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3">
      <c r="A52" s="22"/>
      <c r="B52" s="22"/>
      <c r="C52" s="22"/>
      <c r="D52" s="17"/>
      <c r="E52" s="17"/>
      <c r="F52" s="17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3">
      <c r="A53" s="22"/>
      <c r="B53" s="22"/>
      <c r="C53" s="22"/>
      <c r="D53" s="17"/>
      <c r="E53" s="17"/>
      <c r="F53" s="17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3">
      <c r="A54" s="22"/>
      <c r="B54" s="22"/>
      <c r="C54" s="25"/>
      <c r="D54" s="17"/>
      <c r="E54" s="17"/>
      <c r="F54" s="17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3">
      <c r="A55" s="22"/>
      <c r="B55" s="22"/>
      <c r="C55" s="14"/>
      <c r="D55" s="17"/>
      <c r="E55" s="17"/>
      <c r="F55" s="17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3">
      <c r="A56" s="22"/>
      <c r="B56" s="22"/>
      <c r="C56" s="22"/>
      <c r="D56" s="17"/>
      <c r="E56" s="17"/>
      <c r="F56" s="17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3">
      <c r="A57" s="22"/>
      <c r="B57" s="22"/>
      <c r="C57" s="25"/>
      <c r="D57" s="17"/>
      <c r="E57" s="17"/>
      <c r="F57" s="17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3">
      <c r="A58" s="22"/>
      <c r="B58" s="22"/>
      <c r="C58" s="18"/>
      <c r="D58" s="17"/>
      <c r="E58" s="17"/>
      <c r="F58" s="17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3">
      <c r="A59" s="22"/>
      <c r="B59" s="22"/>
      <c r="C59" s="14"/>
      <c r="D59" s="17"/>
      <c r="E59" s="17"/>
      <c r="F59" s="17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" customHeight="1" x14ac:dyDescent="0.3">
      <c r="A60" s="22"/>
      <c r="B60" s="22"/>
      <c r="C60" s="25"/>
      <c r="D60" s="17"/>
      <c r="E60" s="17"/>
      <c r="F60" s="17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3">
      <c r="A61" s="22"/>
      <c r="B61" s="22"/>
      <c r="C61" s="14"/>
      <c r="D61" s="17"/>
      <c r="E61" s="17"/>
      <c r="F61" s="17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" customHeight="1" x14ac:dyDescent="0.3">
      <c r="A62" s="22"/>
      <c r="B62" s="22"/>
      <c r="C62" s="22"/>
      <c r="D62" s="17"/>
      <c r="E62" s="17"/>
      <c r="F62" s="17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" customHeight="1" x14ac:dyDescent="0.3">
      <c r="A63" s="22"/>
      <c r="B63" s="22"/>
      <c r="C63" s="25"/>
      <c r="D63" s="17"/>
      <c r="E63" s="17"/>
      <c r="F63" s="17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25.5" customHeight="1" x14ac:dyDescent="0.3">
      <c r="A64" s="22"/>
      <c r="B64" s="22"/>
      <c r="C64" s="14"/>
      <c r="D64" s="17"/>
      <c r="E64" s="17"/>
      <c r="F64" s="17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3">
      <c r="A65" s="22"/>
      <c r="B65" s="22"/>
      <c r="C65" s="22"/>
      <c r="D65" s="17"/>
      <c r="E65" s="17"/>
      <c r="F65" s="17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3">
      <c r="A66" s="22"/>
      <c r="B66" s="25"/>
      <c r="C66" s="25"/>
      <c r="D66" s="17"/>
      <c r="E66" s="17"/>
      <c r="F66" s="17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25.5" customHeight="1" x14ac:dyDescent="0.3">
      <c r="A67" s="22"/>
      <c r="B67" s="14"/>
      <c r="C67" s="14"/>
      <c r="D67" s="17"/>
      <c r="E67" s="17"/>
      <c r="F67" s="17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25.5" customHeight="1" x14ac:dyDescent="0.3">
      <c r="A68" s="22"/>
      <c r="B68" s="22"/>
      <c r="C68" s="22"/>
      <c r="D68" s="17"/>
      <c r="E68" s="17"/>
      <c r="F68" s="17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3">
      <c r="A69" s="22"/>
      <c r="B69" s="22"/>
      <c r="C69" s="22"/>
      <c r="D69" s="17"/>
      <c r="E69" s="17"/>
      <c r="F69" s="17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3">
      <c r="A70" s="22"/>
      <c r="B70" s="22"/>
      <c r="C70" s="22"/>
      <c r="D70" s="17"/>
      <c r="E70" s="17"/>
      <c r="F70" s="17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3">
      <c r="A71" s="22"/>
      <c r="B71" s="22"/>
      <c r="C71" s="22"/>
      <c r="D71" s="17"/>
      <c r="E71" s="17"/>
      <c r="F71" s="17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3">
      <c r="A72" s="22"/>
      <c r="B72" s="22"/>
      <c r="C72" s="22"/>
      <c r="D72" s="17"/>
      <c r="E72" s="17"/>
      <c r="F72" s="17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3">
      <c r="A73" s="22"/>
      <c r="B73" s="22"/>
      <c r="C73" s="22"/>
      <c r="D73" s="17"/>
      <c r="E73" s="17"/>
      <c r="F73" s="17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3">
      <c r="A74" s="22"/>
      <c r="B74" s="22"/>
      <c r="C74" s="22"/>
      <c r="D74" s="17"/>
      <c r="E74" s="17"/>
      <c r="F74" s="17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3">
      <c r="A75" s="22"/>
      <c r="B75" s="22"/>
      <c r="C75" s="25"/>
      <c r="D75" s="17"/>
      <c r="E75" s="17"/>
      <c r="F75" s="17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3">
      <c r="A76" s="22"/>
      <c r="B76" s="22"/>
      <c r="C76" s="14"/>
      <c r="D76" s="17"/>
      <c r="E76" s="17"/>
      <c r="F76" s="17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3">
      <c r="A77" s="22"/>
      <c r="B77" s="22"/>
      <c r="C77" s="22"/>
      <c r="D77" s="17"/>
      <c r="E77" s="17"/>
      <c r="F77" s="17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3">
      <c r="A78" s="22"/>
      <c r="B78" s="22"/>
      <c r="C78" s="22"/>
      <c r="D78" s="17"/>
      <c r="E78" s="17"/>
      <c r="F78" s="17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3">
      <c r="A79" s="22"/>
      <c r="B79" s="22"/>
      <c r="C79" s="25"/>
      <c r="D79" s="17"/>
      <c r="E79" s="17"/>
      <c r="F79" s="17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3">
      <c r="A80" s="22"/>
      <c r="B80" s="22"/>
      <c r="C80" s="14"/>
      <c r="D80" s="17"/>
      <c r="E80" s="17"/>
      <c r="F80" s="17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3">
      <c r="A81" s="22"/>
      <c r="B81" s="22"/>
      <c r="C81" s="22"/>
      <c r="D81" s="17"/>
      <c r="E81" s="17"/>
      <c r="F81" s="17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3">
      <c r="A82" s="22"/>
      <c r="B82" s="22"/>
      <c r="C82" s="22"/>
      <c r="D82" s="17"/>
      <c r="E82" s="17"/>
      <c r="F82" s="17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3">
      <c r="A83" s="22"/>
      <c r="B83" s="25"/>
      <c r="C83" s="25"/>
      <c r="D83" s="17"/>
      <c r="E83" s="17"/>
      <c r="F83" s="17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25.5" customHeight="1" x14ac:dyDescent="0.3">
      <c r="A84" s="22"/>
      <c r="B84" s="14"/>
      <c r="C84" s="14"/>
      <c r="D84" s="17"/>
      <c r="E84" s="17"/>
      <c r="F84" s="17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25.5" customHeight="1" x14ac:dyDescent="0.3">
      <c r="A85" s="22"/>
      <c r="B85" s="22"/>
      <c r="C85" s="22"/>
      <c r="D85" s="17"/>
      <c r="E85" s="17"/>
      <c r="F85" s="17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25.5" customHeight="1" x14ac:dyDescent="0.3">
      <c r="A86" s="22"/>
      <c r="B86" s="22"/>
      <c r="C86" s="22"/>
      <c r="D86" s="17"/>
      <c r="E86" s="17"/>
      <c r="F86" s="17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3">
      <c r="A87" s="22"/>
      <c r="B87" s="25"/>
      <c r="C87" s="25"/>
      <c r="D87" s="17"/>
      <c r="E87" s="17"/>
      <c r="F87" s="17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3">
      <c r="A88" s="22"/>
      <c r="B88" s="14"/>
      <c r="C88" s="14"/>
      <c r="D88" s="17"/>
      <c r="E88" s="17"/>
      <c r="F88" s="17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3">
      <c r="A89" s="22"/>
      <c r="B89" s="22"/>
      <c r="C89" s="22"/>
      <c r="D89" s="17"/>
      <c r="E89" s="17"/>
      <c r="F89" s="17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25.5" customHeight="1" x14ac:dyDescent="0.3">
      <c r="A90" s="22"/>
      <c r="B90" s="22"/>
      <c r="C90" s="22"/>
      <c r="D90" s="17"/>
      <c r="E90" s="17"/>
      <c r="F90" s="17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3">
      <c r="A91" s="22"/>
      <c r="B91" s="22"/>
      <c r="C91" s="22"/>
      <c r="D91" s="17"/>
      <c r="E91" s="18"/>
      <c r="F91" s="17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3">
      <c r="A92" s="22"/>
      <c r="B92" s="22"/>
      <c r="C92" s="22"/>
      <c r="D92" s="17"/>
      <c r="E92" s="18"/>
      <c r="F92" s="17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3">
      <c r="A93" s="22"/>
      <c r="B93" s="22"/>
      <c r="C93" s="22"/>
      <c r="D93" s="17"/>
      <c r="E93" s="18"/>
      <c r="F93" s="17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3">
      <c r="A94" s="22"/>
      <c r="B94" s="22"/>
      <c r="C94" s="22"/>
      <c r="D94" s="17"/>
      <c r="E94" s="18"/>
      <c r="F94" s="17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3">
      <c r="A95" s="22"/>
      <c r="B95" s="22"/>
      <c r="C95" s="22"/>
      <c r="D95" s="17"/>
      <c r="E95" s="18"/>
      <c r="F95" s="17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3">
      <c r="A96" s="22"/>
      <c r="B96" s="22"/>
      <c r="C96" s="22"/>
      <c r="D96" s="17"/>
      <c r="E96" s="18"/>
      <c r="F96" s="17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3">
      <c r="A97" s="22"/>
      <c r="B97" s="22"/>
      <c r="C97" s="22"/>
      <c r="D97" s="17"/>
      <c r="E97" s="18"/>
      <c r="F97" s="17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3">
      <c r="A98" s="22"/>
      <c r="B98" s="22"/>
      <c r="C98" s="22"/>
      <c r="D98" s="17"/>
      <c r="E98" s="18"/>
      <c r="F98" s="17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3">
      <c r="A99" s="22"/>
      <c r="B99" s="22"/>
      <c r="C99" s="22"/>
      <c r="D99" s="17"/>
      <c r="E99" s="18"/>
      <c r="F99" s="17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3">
      <c r="A100" s="22"/>
      <c r="B100" s="22"/>
      <c r="C100" s="22"/>
      <c r="D100" s="17"/>
      <c r="E100" s="18"/>
      <c r="F100" s="17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25.5" customHeight="1" x14ac:dyDescent="0.3">
      <c r="A101" s="22"/>
      <c r="B101" s="22"/>
      <c r="C101" s="22"/>
      <c r="D101" s="17"/>
      <c r="E101" s="18"/>
      <c r="F101" s="17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3">
      <c r="A102" s="22"/>
      <c r="B102" s="22"/>
      <c r="C102" s="22"/>
      <c r="D102" s="17"/>
      <c r="E102" s="18"/>
      <c r="F102" s="17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3">
      <c r="A103" s="22"/>
      <c r="B103" s="22"/>
      <c r="C103" s="22"/>
      <c r="D103" s="17"/>
      <c r="E103" s="18"/>
      <c r="F103" s="17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3">
      <c r="A104" s="22"/>
      <c r="B104" s="22"/>
      <c r="C104" s="22"/>
      <c r="D104" s="17"/>
      <c r="E104" s="17"/>
      <c r="F104" s="17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3">
      <c r="A105" s="22"/>
      <c r="B105" s="22"/>
      <c r="C105" s="25"/>
      <c r="D105" s="17"/>
      <c r="E105" s="17"/>
      <c r="F105" s="17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25.5" customHeight="1" x14ac:dyDescent="0.3">
      <c r="A106" s="22"/>
      <c r="B106" s="22"/>
      <c r="C106" s="14"/>
      <c r="D106" s="17"/>
      <c r="E106" s="17"/>
      <c r="F106" s="17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" customHeight="1" x14ac:dyDescent="0.3">
      <c r="A107" s="22"/>
      <c r="B107" s="22"/>
      <c r="C107" s="22"/>
      <c r="D107" s="17"/>
      <c r="E107" s="17"/>
      <c r="F107" s="17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" customHeight="1" x14ac:dyDescent="0.3">
      <c r="A108" s="22"/>
      <c r="B108" s="22"/>
      <c r="C108" s="22"/>
      <c r="D108" s="17"/>
      <c r="E108" s="17"/>
      <c r="F108" s="17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" customHeight="1" x14ac:dyDescent="0.3">
      <c r="A109" s="22"/>
      <c r="B109" s="22"/>
      <c r="C109" s="22"/>
      <c r="D109" s="17"/>
      <c r="E109" s="17"/>
      <c r="F109" s="17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" customHeight="1" x14ac:dyDescent="0.3">
      <c r="A110" s="22"/>
      <c r="B110" s="22"/>
      <c r="C110" s="22"/>
      <c r="D110" s="17"/>
      <c r="E110" s="17"/>
      <c r="F110" s="17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" customHeight="1" x14ac:dyDescent="0.3">
      <c r="A111" s="22"/>
      <c r="B111" s="22"/>
      <c r="C111" s="22"/>
      <c r="D111" s="17"/>
      <c r="E111" s="17"/>
      <c r="F111" s="17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3">
      <c r="A112" s="22"/>
      <c r="B112" s="22"/>
      <c r="C112" s="22"/>
      <c r="D112" s="17"/>
      <c r="E112" s="17"/>
      <c r="F112" s="17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" customHeight="1" x14ac:dyDescent="0.3">
      <c r="A113" s="22"/>
      <c r="B113" s="22"/>
      <c r="C113" s="22"/>
      <c r="D113" s="17"/>
      <c r="E113" s="17"/>
      <c r="F113" s="17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" customHeight="1" x14ac:dyDescent="0.3">
      <c r="A114" s="22"/>
      <c r="B114" s="22"/>
      <c r="C114" s="25"/>
      <c r="D114" s="17"/>
      <c r="E114" s="17"/>
      <c r="F114" s="17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25.5" customHeight="1" x14ac:dyDescent="0.3">
      <c r="A115" s="22"/>
      <c r="B115" s="22"/>
      <c r="C115" s="14"/>
      <c r="D115" s="17"/>
      <c r="E115" s="17"/>
      <c r="F115" s="17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25.5" customHeight="1" x14ac:dyDescent="0.3">
      <c r="A116" s="22"/>
      <c r="B116" s="22"/>
      <c r="C116" s="22"/>
      <c r="D116" s="17"/>
      <c r="E116" s="17"/>
      <c r="F116" s="17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3">
      <c r="A117" s="22"/>
      <c r="B117" s="22"/>
      <c r="C117" s="22"/>
      <c r="D117" s="17"/>
      <c r="E117" s="17"/>
      <c r="F117" s="17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" customHeight="1" x14ac:dyDescent="0.3">
      <c r="A118" s="22"/>
      <c r="B118" s="22"/>
      <c r="C118" s="22"/>
      <c r="D118" s="17"/>
      <c r="E118" s="17"/>
      <c r="F118" s="17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" customHeight="1" x14ac:dyDescent="0.3">
      <c r="A119" s="22"/>
      <c r="B119" s="22"/>
      <c r="C119" s="22"/>
      <c r="D119" s="17"/>
      <c r="E119" s="17"/>
      <c r="F119" s="17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" customHeight="1" x14ac:dyDescent="0.3">
      <c r="A120" s="22"/>
      <c r="B120" s="22"/>
      <c r="C120" s="22"/>
      <c r="D120" s="17"/>
      <c r="E120" s="17"/>
      <c r="F120" s="17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" customHeight="1" x14ac:dyDescent="0.3">
      <c r="A121" s="22"/>
      <c r="B121" s="22"/>
      <c r="C121" s="25"/>
      <c r="D121" s="17"/>
      <c r="E121" s="17"/>
      <c r="F121" s="17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3">
      <c r="A122" s="22"/>
      <c r="B122" s="14"/>
      <c r="C122" s="14"/>
      <c r="D122" s="17"/>
      <c r="E122" s="17"/>
      <c r="F122" s="17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3">
      <c r="A123" s="22"/>
      <c r="B123" s="22"/>
      <c r="C123" s="22"/>
      <c r="D123" s="17"/>
      <c r="E123" s="17"/>
      <c r="F123" s="17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3">
      <c r="A124" s="22"/>
      <c r="B124" s="22"/>
      <c r="C124" s="22"/>
      <c r="D124" s="17"/>
      <c r="E124" s="17"/>
      <c r="F124" s="17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3">
      <c r="A125" s="22"/>
      <c r="B125" s="22"/>
      <c r="C125" s="22"/>
      <c r="D125" s="17"/>
      <c r="E125" s="18"/>
      <c r="F125" s="17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3">
      <c r="A126" s="22"/>
      <c r="B126" s="22"/>
      <c r="C126" s="22"/>
      <c r="D126" s="17"/>
      <c r="E126" s="18"/>
      <c r="F126" s="17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3">
      <c r="A127" s="22"/>
      <c r="B127" s="22"/>
      <c r="C127" s="22"/>
      <c r="D127" s="17"/>
      <c r="E127" s="18"/>
      <c r="F127" s="17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3">
      <c r="A128" s="22"/>
      <c r="B128" s="22"/>
      <c r="C128" s="22"/>
      <c r="D128" s="17"/>
      <c r="E128" s="18"/>
      <c r="F128" s="17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3">
      <c r="A129" s="22"/>
      <c r="B129" s="22"/>
      <c r="C129" s="22"/>
      <c r="D129" s="17"/>
      <c r="E129" s="18"/>
      <c r="F129" s="17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3">
      <c r="A130" s="22"/>
      <c r="B130" s="22"/>
      <c r="C130" s="22"/>
      <c r="D130" s="17"/>
      <c r="E130" s="18"/>
      <c r="F130" s="17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3">
      <c r="A131" s="22"/>
      <c r="B131" s="22"/>
      <c r="C131" s="22"/>
      <c r="D131" s="17"/>
      <c r="E131" s="18"/>
      <c r="F131" s="17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3">
      <c r="A132" s="22"/>
      <c r="B132" s="22"/>
      <c r="C132" s="22"/>
      <c r="D132" s="17"/>
      <c r="E132" s="18"/>
      <c r="F132" s="17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3">
      <c r="A133" s="22"/>
      <c r="B133" s="22"/>
      <c r="C133" s="22"/>
      <c r="D133" s="17"/>
      <c r="E133" s="18"/>
      <c r="F133" s="17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3">
      <c r="A134" s="22"/>
      <c r="B134" s="22"/>
      <c r="C134" s="22"/>
      <c r="D134" s="17"/>
      <c r="E134" s="18"/>
      <c r="F134" s="17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3">
      <c r="A135" s="22"/>
      <c r="B135" s="22"/>
      <c r="C135" s="22"/>
      <c r="D135" s="17"/>
      <c r="E135" s="18"/>
      <c r="F135" s="17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3">
      <c r="A136" s="22"/>
      <c r="B136" s="22"/>
      <c r="C136" s="22"/>
      <c r="D136" s="17"/>
      <c r="E136" s="18"/>
      <c r="F136" s="17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3">
      <c r="A137" s="22"/>
      <c r="B137" s="22"/>
      <c r="C137" s="22"/>
      <c r="D137" s="17"/>
      <c r="E137" s="18"/>
      <c r="F137" s="17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3">
      <c r="A138" s="22"/>
      <c r="B138" s="22"/>
      <c r="C138" s="22"/>
      <c r="D138" s="17"/>
      <c r="E138" s="18"/>
      <c r="F138" s="17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3">
      <c r="A139" s="22"/>
      <c r="B139" s="22"/>
      <c r="C139" s="22"/>
      <c r="D139" s="17"/>
      <c r="E139" s="18"/>
      <c r="F139" s="17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3">
      <c r="A140" s="22"/>
      <c r="B140" s="22"/>
      <c r="C140" s="22"/>
      <c r="D140" s="17"/>
      <c r="E140" s="18"/>
      <c r="F140" s="17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3">
      <c r="A141" s="22"/>
      <c r="B141" s="22"/>
      <c r="C141" s="22"/>
      <c r="D141" s="17"/>
      <c r="E141" s="18"/>
      <c r="F141" s="17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3">
      <c r="A142" s="22"/>
      <c r="B142" s="22"/>
      <c r="C142" s="22"/>
      <c r="D142" s="17"/>
      <c r="E142" s="18"/>
      <c r="F142" s="17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3">
      <c r="A143" s="22"/>
      <c r="B143" s="22"/>
      <c r="C143" s="22"/>
      <c r="D143" s="17"/>
      <c r="E143" s="18"/>
      <c r="F143" s="17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3">
      <c r="A144" s="22"/>
      <c r="B144" s="22"/>
      <c r="C144" s="22"/>
      <c r="D144" s="17"/>
      <c r="E144" s="18"/>
      <c r="F144" s="17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3">
      <c r="A145" s="22"/>
      <c r="B145" s="22"/>
      <c r="C145" s="22"/>
      <c r="D145" s="17"/>
      <c r="E145" s="18"/>
      <c r="F145" s="17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3">
      <c r="A146" s="22"/>
      <c r="B146" s="22"/>
      <c r="C146" s="22"/>
      <c r="D146" s="17"/>
      <c r="E146" s="18"/>
      <c r="F146" s="17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25.5" customHeight="1" x14ac:dyDescent="0.3">
      <c r="A147" s="22"/>
      <c r="B147" s="22"/>
      <c r="C147" s="22"/>
      <c r="D147" s="17"/>
      <c r="E147" s="18"/>
      <c r="F147" s="17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3">
      <c r="A148" s="22"/>
      <c r="B148" s="22"/>
      <c r="C148" s="22"/>
      <c r="D148" s="17"/>
      <c r="E148" s="18"/>
      <c r="F148" s="17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3">
      <c r="A149" s="22"/>
      <c r="B149" s="22"/>
      <c r="C149" s="22"/>
      <c r="D149" s="17"/>
      <c r="E149" s="18"/>
      <c r="F149" s="17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3">
      <c r="A150" s="22"/>
      <c r="B150" s="22"/>
      <c r="C150" s="22"/>
      <c r="D150" s="17"/>
      <c r="E150" s="17"/>
      <c r="F150" s="17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3">
      <c r="A151" s="22"/>
      <c r="B151" s="22"/>
      <c r="C151" s="25"/>
      <c r="D151" s="17"/>
      <c r="E151" s="17"/>
      <c r="F151" s="17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38.25" customHeight="1" x14ac:dyDescent="0.3">
      <c r="A152" s="22"/>
      <c r="B152" s="22"/>
      <c r="C152" s="14"/>
      <c r="D152" s="17"/>
      <c r="E152" s="17"/>
      <c r="F152" s="17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" customHeight="1" x14ac:dyDescent="0.3">
      <c r="A153" s="22"/>
      <c r="B153" s="22"/>
      <c r="C153" s="22"/>
      <c r="D153" s="17"/>
      <c r="E153" s="17"/>
      <c r="F153" s="17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" customHeight="1" x14ac:dyDescent="0.3">
      <c r="A154" s="22"/>
      <c r="B154" s="22"/>
      <c r="C154" s="22"/>
      <c r="D154" s="17"/>
      <c r="E154" s="17"/>
      <c r="F154" s="17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" customHeight="1" x14ac:dyDescent="0.3">
      <c r="A155" s="22"/>
      <c r="B155" s="22"/>
      <c r="C155" s="22"/>
      <c r="D155" s="17"/>
      <c r="E155" s="17"/>
      <c r="F155" s="17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" customHeight="1" x14ac:dyDescent="0.3">
      <c r="A156" s="22"/>
      <c r="B156" s="22"/>
      <c r="C156" s="22"/>
      <c r="D156" s="17"/>
      <c r="E156" s="17"/>
      <c r="F156" s="17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" customHeight="1" x14ac:dyDescent="0.3">
      <c r="A157" s="22"/>
      <c r="B157" s="22"/>
      <c r="C157" s="22"/>
      <c r="D157" s="17"/>
      <c r="E157" s="17"/>
      <c r="F157" s="17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25.5" customHeight="1" x14ac:dyDescent="0.3">
      <c r="A158" s="22"/>
      <c r="B158" s="22"/>
      <c r="C158" s="22"/>
      <c r="D158" s="17"/>
      <c r="E158" s="17"/>
      <c r="F158" s="17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" customHeight="1" x14ac:dyDescent="0.3">
      <c r="A159" s="22"/>
      <c r="B159" s="22"/>
      <c r="C159" s="22"/>
      <c r="D159" s="17"/>
      <c r="E159" s="17"/>
      <c r="F159" s="17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" customHeight="1" x14ac:dyDescent="0.3">
      <c r="A160" s="22"/>
      <c r="B160" s="22"/>
      <c r="C160" s="22"/>
      <c r="D160" s="17"/>
      <c r="E160" s="17"/>
      <c r="F160" s="17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" customHeight="1" x14ac:dyDescent="0.3">
      <c r="A161" s="22"/>
      <c r="B161" s="22"/>
      <c r="C161" s="22"/>
      <c r="D161" s="17"/>
      <c r="E161" s="17"/>
      <c r="F161" s="17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" customHeight="1" x14ac:dyDescent="0.3">
      <c r="A162" s="22"/>
      <c r="B162" s="22"/>
      <c r="C162" s="25"/>
      <c r="D162" s="17"/>
      <c r="E162" s="17"/>
      <c r="F162" s="17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25.5" customHeight="1" x14ac:dyDescent="0.3">
      <c r="A163" s="22"/>
      <c r="B163" s="22"/>
      <c r="C163" s="14"/>
      <c r="D163" s="17"/>
      <c r="E163" s="17"/>
      <c r="F163" s="17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25.5" customHeight="1" x14ac:dyDescent="0.3">
      <c r="A164" s="22"/>
      <c r="B164" s="22"/>
      <c r="C164" s="22"/>
      <c r="D164" s="17"/>
      <c r="E164" s="17"/>
      <c r="F164" s="17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" customHeight="1" x14ac:dyDescent="0.3">
      <c r="A165" s="22"/>
      <c r="B165" s="22"/>
      <c r="C165" s="22"/>
      <c r="D165" s="17"/>
      <c r="E165" s="17"/>
      <c r="F165" s="17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" customHeight="1" x14ac:dyDescent="0.3">
      <c r="A166" s="22"/>
      <c r="B166" s="22"/>
      <c r="C166" s="22"/>
      <c r="D166" s="17"/>
      <c r="E166" s="17"/>
      <c r="F166" s="17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" customHeight="1" x14ac:dyDescent="0.3">
      <c r="A167" s="22"/>
      <c r="B167" s="22"/>
      <c r="C167" s="22"/>
      <c r="D167" s="17"/>
      <c r="E167" s="17"/>
      <c r="F167" s="17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" customHeight="1" x14ac:dyDescent="0.3">
      <c r="A168" s="22"/>
      <c r="B168" s="22"/>
      <c r="C168" s="22"/>
      <c r="D168" s="17"/>
      <c r="E168" s="17"/>
      <c r="F168" s="17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" customHeight="1" x14ac:dyDescent="0.3">
      <c r="A169" s="22"/>
      <c r="B169" s="22"/>
      <c r="C169" s="22"/>
      <c r="D169" s="17"/>
      <c r="E169" s="17"/>
      <c r="F169" s="17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" customHeight="1" x14ac:dyDescent="0.3">
      <c r="A170" s="22"/>
      <c r="B170" s="25"/>
      <c r="C170" s="25"/>
      <c r="D170" s="17"/>
      <c r="E170" s="17"/>
      <c r="F170" s="17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3">
      <c r="A171" s="22"/>
      <c r="B171" s="14"/>
      <c r="C171" s="14"/>
      <c r="D171" s="17"/>
      <c r="E171" s="17"/>
      <c r="F171" s="17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25.5" customHeight="1" x14ac:dyDescent="0.3">
      <c r="A172" s="22"/>
      <c r="B172" s="22"/>
      <c r="C172" s="22"/>
      <c r="D172" s="17"/>
      <c r="E172" s="17"/>
      <c r="F172" s="17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3">
      <c r="A173" s="22"/>
      <c r="B173" s="22"/>
      <c r="C173" s="22"/>
      <c r="D173" s="17"/>
      <c r="E173" s="17"/>
      <c r="F173" s="17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3">
      <c r="A174" s="22"/>
      <c r="B174" s="22"/>
      <c r="C174" s="22"/>
      <c r="D174" s="17"/>
      <c r="E174" s="17"/>
      <c r="F174" s="17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3">
      <c r="A175" s="22"/>
      <c r="B175" s="22"/>
      <c r="C175" s="22"/>
      <c r="D175" s="17"/>
      <c r="E175" s="18"/>
      <c r="F175" s="17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3">
      <c r="A176" s="22"/>
      <c r="B176" s="22"/>
      <c r="C176" s="22"/>
      <c r="D176" s="17"/>
      <c r="E176" s="18"/>
      <c r="F176" s="17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3">
      <c r="A177" s="22"/>
      <c r="B177" s="22"/>
      <c r="C177" s="22"/>
      <c r="D177" s="17"/>
      <c r="E177" s="18"/>
      <c r="F177" s="17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3">
      <c r="A178" s="22"/>
      <c r="B178" s="22"/>
      <c r="C178" s="22"/>
      <c r="D178" s="17"/>
      <c r="E178" s="18"/>
      <c r="F178" s="17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3">
      <c r="A179" s="22"/>
      <c r="B179" s="22"/>
      <c r="C179" s="22"/>
      <c r="D179" s="17"/>
      <c r="E179" s="18"/>
      <c r="F179" s="17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3">
      <c r="A180" s="22"/>
      <c r="B180" s="22"/>
      <c r="C180" s="22"/>
      <c r="D180" s="17"/>
      <c r="E180" s="18"/>
      <c r="F180" s="17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3">
      <c r="A181" s="22"/>
      <c r="B181" s="22"/>
      <c r="C181" s="22"/>
      <c r="D181" s="17"/>
      <c r="E181" s="18"/>
      <c r="F181" s="17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3">
      <c r="A182" s="22"/>
      <c r="B182" s="22"/>
      <c r="C182" s="22"/>
      <c r="D182" s="17"/>
      <c r="E182" s="18"/>
      <c r="F182" s="17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3">
      <c r="A183" s="22"/>
      <c r="B183" s="22"/>
      <c r="C183" s="22"/>
      <c r="D183" s="17"/>
      <c r="E183" s="18"/>
      <c r="F183" s="17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3">
      <c r="A184" s="22"/>
      <c r="B184" s="22"/>
      <c r="C184" s="22"/>
      <c r="D184" s="17"/>
      <c r="E184" s="18"/>
      <c r="F184" s="17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3">
      <c r="A185" s="22"/>
      <c r="B185" s="22"/>
      <c r="C185" s="22"/>
      <c r="D185" s="17"/>
      <c r="E185" s="18"/>
      <c r="F185" s="17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3">
      <c r="A186" s="22"/>
      <c r="B186" s="22"/>
      <c r="C186" s="22"/>
      <c r="D186" s="17"/>
      <c r="E186" s="18"/>
      <c r="F186" s="17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3">
      <c r="A187" s="22"/>
      <c r="B187" s="22"/>
      <c r="C187" s="22"/>
      <c r="D187" s="17"/>
      <c r="E187" s="18"/>
      <c r="F187" s="17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3">
      <c r="A188" s="22"/>
      <c r="B188" s="22"/>
      <c r="C188" s="22"/>
      <c r="D188" s="17"/>
      <c r="E188" s="18"/>
      <c r="F188" s="17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3">
      <c r="A189" s="22"/>
      <c r="B189" s="22"/>
      <c r="C189" s="22"/>
      <c r="D189" s="17"/>
      <c r="E189" s="18"/>
      <c r="F189" s="17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3">
      <c r="A190" s="22"/>
      <c r="B190" s="22"/>
      <c r="C190" s="22"/>
      <c r="D190" s="17"/>
      <c r="E190" s="18"/>
      <c r="F190" s="17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3">
      <c r="A191" s="22"/>
      <c r="B191" s="22"/>
      <c r="C191" s="22"/>
      <c r="D191" s="17"/>
      <c r="E191" s="18"/>
      <c r="F191" s="17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3">
      <c r="A192" s="22"/>
      <c r="B192" s="22"/>
      <c r="C192" s="22"/>
      <c r="D192" s="17"/>
      <c r="E192" s="18"/>
      <c r="F192" s="17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3">
      <c r="A193" s="22"/>
      <c r="B193" s="22"/>
      <c r="C193" s="22"/>
      <c r="D193" s="17"/>
      <c r="E193" s="18"/>
      <c r="F193" s="17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3">
      <c r="A194" s="22"/>
      <c r="B194" s="22"/>
      <c r="C194" s="22"/>
      <c r="D194" s="17"/>
      <c r="E194" s="18"/>
      <c r="F194" s="17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3">
      <c r="A195" s="22"/>
      <c r="B195" s="22"/>
      <c r="C195" s="22"/>
      <c r="D195" s="17"/>
      <c r="E195" s="18"/>
      <c r="F195" s="17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3">
      <c r="A196" s="22"/>
      <c r="B196" s="22"/>
      <c r="C196" s="22"/>
      <c r="D196" s="17"/>
      <c r="E196" s="18"/>
      <c r="F196" s="17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3">
      <c r="A197" s="22"/>
      <c r="B197" s="22"/>
      <c r="C197" s="22"/>
      <c r="D197" s="17"/>
      <c r="E197" s="18"/>
      <c r="F197" s="17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3">
      <c r="A198" s="22"/>
      <c r="B198" s="22"/>
      <c r="C198" s="22"/>
      <c r="D198" s="17"/>
      <c r="E198" s="18"/>
      <c r="F198" s="17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3">
      <c r="A199" s="22"/>
      <c r="B199" s="22"/>
      <c r="C199" s="22"/>
      <c r="D199" s="17"/>
      <c r="E199" s="18"/>
      <c r="F199" s="17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3">
      <c r="A200" s="22"/>
      <c r="B200" s="22"/>
      <c r="C200" s="22"/>
      <c r="D200" s="17"/>
      <c r="E200" s="17"/>
      <c r="F200" s="17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3">
      <c r="A201" s="22"/>
      <c r="B201" s="22"/>
      <c r="C201" s="25"/>
      <c r="D201" s="17"/>
      <c r="E201" s="17"/>
      <c r="F201" s="17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38.25" customHeight="1" x14ac:dyDescent="0.3">
      <c r="A202" s="22"/>
      <c r="B202" s="22"/>
      <c r="C202" s="14"/>
      <c r="D202" s="17"/>
      <c r="E202" s="17"/>
      <c r="F202" s="17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" customHeight="1" x14ac:dyDescent="0.3">
      <c r="A203" s="22"/>
      <c r="B203" s="22"/>
      <c r="C203" s="22"/>
      <c r="D203" s="17"/>
      <c r="E203" s="17"/>
      <c r="F203" s="17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" customHeight="1" x14ac:dyDescent="0.3">
      <c r="A204" s="22"/>
      <c r="B204" s="22"/>
      <c r="C204" s="22"/>
      <c r="D204" s="17"/>
      <c r="E204" s="17"/>
      <c r="F204" s="17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" customHeight="1" x14ac:dyDescent="0.3">
      <c r="A205" s="22"/>
      <c r="B205" s="22"/>
      <c r="C205" s="22"/>
      <c r="D205" s="17"/>
      <c r="E205" s="17"/>
      <c r="F205" s="17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" customHeight="1" x14ac:dyDescent="0.3">
      <c r="A206" s="22"/>
      <c r="B206" s="22"/>
      <c r="C206" s="22"/>
      <c r="D206" s="17"/>
      <c r="E206" s="17"/>
      <c r="F206" s="17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" customHeight="1" x14ac:dyDescent="0.3">
      <c r="A207" s="22"/>
      <c r="B207" s="22"/>
      <c r="C207" s="22"/>
      <c r="D207" s="17"/>
      <c r="E207" s="17"/>
      <c r="F207" s="17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25.5" customHeight="1" x14ac:dyDescent="0.3">
      <c r="A208" s="22"/>
      <c r="B208" s="22"/>
      <c r="C208" s="22"/>
      <c r="D208" s="17"/>
      <c r="E208" s="17"/>
      <c r="F208" s="17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" customHeight="1" x14ac:dyDescent="0.3">
      <c r="A209" s="22"/>
      <c r="B209" s="22"/>
      <c r="C209" s="22"/>
      <c r="D209" s="17"/>
      <c r="E209" s="17"/>
      <c r="F209" s="17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" customHeight="1" x14ac:dyDescent="0.3">
      <c r="A210" s="22"/>
      <c r="B210" s="22"/>
      <c r="C210" s="22"/>
      <c r="D210" s="17"/>
      <c r="E210" s="17"/>
      <c r="F210" s="17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" customHeight="1" x14ac:dyDescent="0.3">
      <c r="A211" s="22"/>
      <c r="B211" s="22"/>
      <c r="C211" s="25"/>
      <c r="D211" s="17"/>
      <c r="E211" s="17"/>
      <c r="F211" s="17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25.5" customHeight="1" x14ac:dyDescent="0.3">
      <c r="A212" s="22"/>
      <c r="B212" s="22"/>
      <c r="C212" s="14"/>
      <c r="D212" s="17"/>
      <c r="E212" s="17"/>
      <c r="F212" s="17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25.5" customHeight="1" x14ac:dyDescent="0.3">
      <c r="A213" s="22"/>
      <c r="B213" s="22"/>
      <c r="C213" s="22"/>
      <c r="D213" s="17"/>
      <c r="E213" s="17"/>
      <c r="F213" s="17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" customHeight="1" x14ac:dyDescent="0.3">
      <c r="A214" s="22"/>
      <c r="B214" s="22"/>
      <c r="C214" s="22"/>
      <c r="D214" s="17"/>
      <c r="E214" s="17"/>
      <c r="F214" s="17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" customHeight="1" x14ac:dyDescent="0.3">
      <c r="A215" s="22"/>
      <c r="B215" s="22"/>
      <c r="C215" s="22"/>
      <c r="D215" s="17"/>
      <c r="E215" s="17"/>
      <c r="F215" s="17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" customHeight="1" x14ac:dyDescent="0.3">
      <c r="A216" s="22"/>
      <c r="B216" s="22"/>
      <c r="C216" s="22"/>
      <c r="D216" s="17"/>
      <c r="E216" s="17"/>
      <c r="F216" s="17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" customHeight="1" x14ac:dyDescent="0.3">
      <c r="A217" s="22"/>
      <c r="B217" s="22"/>
      <c r="C217" s="22"/>
      <c r="D217" s="17"/>
      <c r="E217" s="17"/>
      <c r="F217" s="17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" customHeight="1" x14ac:dyDescent="0.3">
      <c r="A218" s="22"/>
      <c r="B218" s="22"/>
      <c r="C218" s="22"/>
      <c r="D218" s="17"/>
      <c r="E218" s="17"/>
      <c r="F218" s="17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3">
      <c r="A219" s="22"/>
      <c r="B219" s="14"/>
      <c r="C219" s="14"/>
      <c r="D219" s="17"/>
      <c r="E219" s="17"/>
      <c r="F219" s="17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3">
      <c r="A220" s="22"/>
      <c r="B220" s="22"/>
      <c r="C220" s="22"/>
      <c r="D220" s="17"/>
      <c r="E220" s="17"/>
      <c r="F220" s="17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3">
      <c r="A221" s="22"/>
      <c r="B221" s="22"/>
      <c r="C221" s="22"/>
      <c r="D221" s="17"/>
      <c r="E221" s="17"/>
      <c r="F221" s="17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3">
      <c r="A222" s="22"/>
      <c r="B222" s="22"/>
      <c r="C222" s="22"/>
      <c r="D222" s="17"/>
      <c r="E222" s="17"/>
      <c r="F222" s="17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3">
      <c r="A223" s="22"/>
      <c r="B223" s="22"/>
      <c r="C223" s="22"/>
      <c r="D223" s="17"/>
      <c r="E223" s="18"/>
      <c r="F223" s="17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3">
      <c r="A224" s="22"/>
      <c r="B224" s="22"/>
      <c r="C224" s="22"/>
      <c r="D224" s="17"/>
      <c r="E224" s="18"/>
      <c r="F224" s="17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3">
      <c r="A225" s="22"/>
      <c r="B225" s="22"/>
      <c r="C225" s="22"/>
      <c r="D225" s="17"/>
      <c r="E225" s="18"/>
      <c r="F225" s="17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3">
      <c r="A226" s="22"/>
      <c r="B226" s="22"/>
      <c r="C226" s="22"/>
      <c r="D226" s="17"/>
      <c r="E226" s="18"/>
      <c r="F226" s="17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3">
      <c r="A227" s="22"/>
      <c r="B227" s="22"/>
      <c r="C227" s="22"/>
      <c r="D227" s="17"/>
      <c r="E227" s="18"/>
      <c r="F227" s="17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3">
      <c r="A228" s="22"/>
      <c r="B228" s="22"/>
      <c r="C228" s="22"/>
      <c r="D228" s="17"/>
      <c r="E228" s="18"/>
      <c r="F228" s="17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3">
      <c r="A229" s="22"/>
      <c r="B229" s="22"/>
      <c r="C229" s="22"/>
      <c r="D229" s="17"/>
      <c r="E229" s="18"/>
      <c r="F229" s="17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3">
      <c r="A230" s="22"/>
      <c r="B230" s="22"/>
      <c r="C230" s="22"/>
      <c r="D230" s="17"/>
      <c r="E230" s="18"/>
      <c r="F230" s="17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3">
      <c r="A231" s="22"/>
      <c r="B231" s="22"/>
      <c r="C231" s="22"/>
      <c r="D231" s="17"/>
      <c r="E231" s="18"/>
      <c r="F231" s="17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3">
      <c r="A232" s="22"/>
      <c r="B232" s="22"/>
      <c r="C232" s="22"/>
      <c r="D232" s="17"/>
      <c r="E232" s="18"/>
      <c r="F232" s="17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3">
      <c r="A233" s="22"/>
      <c r="B233" s="22"/>
      <c r="C233" s="22"/>
      <c r="D233" s="17"/>
      <c r="E233" s="18"/>
      <c r="F233" s="17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3">
      <c r="A234" s="22"/>
      <c r="B234" s="22"/>
      <c r="C234" s="22"/>
      <c r="D234" s="17"/>
      <c r="E234" s="18"/>
      <c r="F234" s="17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4.25" customHeight="1" x14ac:dyDescent="0.3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4.25" customHeight="1" x14ac:dyDescent="0.3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4.25" customHeight="1" x14ac:dyDescent="0.3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4.25" customHeight="1" x14ac:dyDescent="0.3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4.25" customHeight="1" x14ac:dyDescent="0.3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4.25" customHeight="1" x14ac:dyDescent="0.3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4.25" customHeight="1" x14ac:dyDescent="0.3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4.25" customHeight="1" x14ac:dyDescent="0.3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4.25" customHeight="1" x14ac:dyDescent="0.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4.25" customHeight="1" x14ac:dyDescent="0.3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4.25" customHeight="1" x14ac:dyDescent="0.3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4.25" customHeight="1" x14ac:dyDescent="0.3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4.25" customHeight="1" x14ac:dyDescent="0.3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4.25" customHeight="1" x14ac:dyDescent="0.3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4.25" customHeight="1" x14ac:dyDescent="0.3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4.25" customHeight="1" x14ac:dyDescent="0.3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4.25" customHeight="1" x14ac:dyDescent="0.3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4.25" customHeight="1" x14ac:dyDescent="0.3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4.25" customHeight="1" x14ac:dyDescent="0.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4.25" customHeight="1" x14ac:dyDescent="0.3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4.25" customHeight="1" x14ac:dyDescent="0.3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4.25" customHeight="1" x14ac:dyDescent="0.3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4.25" customHeight="1" x14ac:dyDescent="0.3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4.25" customHeight="1" x14ac:dyDescent="0.3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4.25" customHeight="1" x14ac:dyDescent="0.3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4.25" customHeight="1" x14ac:dyDescent="0.3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4.25" customHeight="1" x14ac:dyDescent="0.3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4.25" customHeight="1" x14ac:dyDescent="0.3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4.25" customHeight="1" x14ac:dyDescent="0.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4.25" customHeight="1" x14ac:dyDescent="0.3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4.25" customHeight="1" x14ac:dyDescent="0.3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4.25" customHeight="1" x14ac:dyDescent="0.3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4.25" customHeight="1" x14ac:dyDescent="0.3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4.25" customHeight="1" x14ac:dyDescent="0.3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4.25" customHeight="1" x14ac:dyDescent="0.3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4.25" customHeight="1" x14ac:dyDescent="0.3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4.25" customHeight="1" x14ac:dyDescent="0.3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4.25" customHeight="1" x14ac:dyDescent="0.3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4.25" customHeight="1" x14ac:dyDescent="0.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4.25" customHeight="1" x14ac:dyDescent="0.3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4.25" customHeight="1" x14ac:dyDescent="0.3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4.25" customHeight="1" x14ac:dyDescent="0.3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4.25" customHeight="1" x14ac:dyDescent="0.3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4.25" customHeight="1" x14ac:dyDescent="0.3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4.25" customHeight="1" x14ac:dyDescent="0.3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4.25" customHeight="1" x14ac:dyDescent="0.3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4.25" customHeight="1" x14ac:dyDescent="0.3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4.25" customHeight="1" x14ac:dyDescent="0.3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4.25" customHeight="1" x14ac:dyDescent="0.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4.25" customHeight="1" x14ac:dyDescent="0.3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4.25" customHeight="1" x14ac:dyDescent="0.3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4.25" customHeight="1" x14ac:dyDescent="0.3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4.25" customHeight="1" x14ac:dyDescent="0.3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4.25" customHeight="1" x14ac:dyDescent="0.3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4.25" customHeight="1" x14ac:dyDescent="0.3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4.25" customHeight="1" x14ac:dyDescent="0.3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4.25" customHeight="1" x14ac:dyDescent="0.3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4.25" customHeight="1" x14ac:dyDescent="0.3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4.25" customHeight="1" x14ac:dyDescent="0.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4.25" customHeight="1" x14ac:dyDescent="0.3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4.25" customHeight="1" x14ac:dyDescent="0.3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4.25" customHeight="1" x14ac:dyDescent="0.3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4.25" customHeight="1" x14ac:dyDescent="0.3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4.25" customHeight="1" x14ac:dyDescent="0.3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4.25" customHeight="1" x14ac:dyDescent="0.3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4.25" customHeight="1" x14ac:dyDescent="0.3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4.25" customHeight="1" x14ac:dyDescent="0.3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4.25" customHeight="1" x14ac:dyDescent="0.3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4.25" customHeight="1" x14ac:dyDescent="0.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4.25" customHeight="1" x14ac:dyDescent="0.3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4.25" customHeight="1" x14ac:dyDescent="0.3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4.25" customHeight="1" x14ac:dyDescent="0.3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4.25" customHeight="1" x14ac:dyDescent="0.3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4.25" customHeight="1" x14ac:dyDescent="0.3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4.25" customHeight="1" x14ac:dyDescent="0.3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4.25" customHeight="1" x14ac:dyDescent="0.3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4.25" customHeight="1" x14ac:dyDescent="0.3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4.25" customHeight="1" x14ac:dyDescent="0.3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4.25" customHeight="1" x14ac:dyDescent="0.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4.25" customHeight="1" x14ac:dyDescent="0.3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4.25" customHeight="1" x14ac:dyDescent="0.3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4.25" customHeight="1" x14ac:dyDescent="0.3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4.25" customHeight="1" x14ac:dyDescent="0.3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4.25" customHeight="1" x14ac:dyDescent="0.3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4.25" customHeight="1" x14ac:dyDescent="0.3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4.25" customHeight="1" x14ac:dyDescent="0.3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4.25" customHeight="1" x14ac:dyDescent="0.3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4.25" customHeight="1" x14ac:dyDescent="0.3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4.25" customHeight="1" x14ac:dyDescent="0.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4.25" customHeight="1" x14ac:dyDescent="0.3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4.25" customHeight="1" x14ac:dyDescent="0.3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4.25" customHeight="1" x14ac:dyDescent="0.3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4.25" customHeight="1" x14ac:dyDescent="0.3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4.25" customHeight="1" x14ac:dyDescent="0.3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4.25" customHeight="1" x14ac:dyDescent="0.3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4.25" customHeight="1" x14ac:dyDescent="0.3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4.25" customHeight="1" x14ac:dyDescent="0.3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4.25" customHeight="1" x14ac:dyDescent="0.3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4.25" customHeight="1" x14ac:dyDescent="0.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4.25" customHeight="1" x14ac:dyDescent="0.3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4.25" customHeight="1" x14ac:dyDescent="0.3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4.25" customHeight="1" x14ac:dyDescent="0.3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4.25" customHeight="1" x14ac:dyDescent="0.3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4.25" customHeight="1" x14ac:dyDescent="0.3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4.25" customHeight="1" x14ac:dyDescent="0.3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4.25" customHeight="1" x14ac:dyDescent="0.3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4.25" customHeight="1" x14ac:dyDescent="0.3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4.25" customHeight="1" x14ac:dyDescent="0.3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4.25" customHeight="1" x14ac:dyDescent="0.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4.25" customHeight="1" x14ac:dyDescent="0.3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4.25" customHeight="1" x14ac:dyDescent="0.3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4.25" customHeight="1" x14ac:dyDescent="0.3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4.25" customHeight="1" x14ac:dyDescent="0.3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4.25" customHeight="1" x14ac:dyDescent="0.3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4.25" customHeight="1" x14ac:dyDescent="0.3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4.25" customHeight="1" x14ac:dyDescent="0.3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4.25" customHeight="1" x14ac:dyDescent="0.3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4.25" customHeight="1" x14ac:dyDescent="0.3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4.25" customHeight="1" x14ac:dyDescent="0.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4.25" customHeight="1" x14ac:dyDescent="0.3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4.25" customHeight="1" x14ac:dyDescent="0.3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4.25" customHeight="1" x14ac:dyDescent="0.3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4.25" customHeight="1" x14ac:dyDescent="0.3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4.25" customHeight="1" x14ac:dyDescent="0.3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4.25" customHeight="1" x14ac:dyDescent="0.3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4.25" customHeight="1" x14ac:dyDescent="0.3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4.25" customHeight="1" x14ac:dyDescent="0.3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4.25" customHeight="1" x14ac:dyDescent="0.3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4.25" customHeight="1" x14ac:dyDescent="0.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4.25" customHeight="1" x14ac:dyDescent="0.3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4.25" customHeight="1" x14ac:dyDescent="0.3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4.25" customHeight="1" x14ac:dyDescent="0.3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4.25" customHeight="1" x14ac:dyDescent="0.3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4.25" customHeight="1" x14ac:dyDescent="0.3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4.25" customHeight="1" x14ac:dyDescent="0.3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4.25" customHeight="1" x14ac:dyDescent="0.3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4.25" customHeight="1" x14ac:dyDescent="0.3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4.25" customHeight="1" x14ac:dyDescent="0.3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4.25" customHeight="1" x14ac:dyDescent="0.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4.25" customHeight="1" x14ac:dyDescent="0.3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4.25" customHeight="1" x14ac:dyDescent="0.3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4.25" customHeight="1" x14ac:dyDescent="0.3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4.25" customHeight="1" x14ac:dyDescent="0.3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4.25" customHeight="1" x14ac:dyDescent="0.3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4.25" customHeight="1" x14ac:dyDescent="0.3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4.25" customHeight="1" x14ac:dyDescent="0.3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4.25" customHeight="1" x14ac:dyDescent="0.3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4.25" customHeight="1" x14ac:dyDescent="0.3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4.25" customHeight="1" x14ac:dyDescent="0.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4.25" customHeight="1" x14ac:dyDescent="0.3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4.25" customHeight="1" x14ac:dyDescent="0.3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4.25" customHeight="1" x14ac:dyDescent="0.3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4.25" customHeight="1" x14ac:dyDescent="0.3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4.25" customHeight="1" x14ac:dyDescent="0.3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4.25" customHeight="1" x14ac:dyDescent="0.3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4.25" customHeight="1" x14ac:dyDescent="0.3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4.25" customHeight="1" x14ac:dyDescent="0.3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4.25" customHeight="1" x14ac:dyDescent="0.3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4.25" customHeight="1" x14ac:dyDescent="0.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4.25" customHeight="1" x14ac:dyDescent="0.3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4.25" customHeight="1" x14ac:dyDescent="0.3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4.25" customHeight="1" x14ac:dyDescent="0.3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4.25" customHeight="1" x14ac:dyDescent="0.3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4.25" customHeight="1" x14ac:dyDescent="0.3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4.25" customHeight="1" x14ac:dyDescent="0.3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4.25" customHeight="1" x14ac:dyDescent="0.3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4.25" customHeight="1" x14ac:dyDescent="0.3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4.25" customHeight="1" x14ac:dyDescent="0.3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4.25" customHeight="1" x14ac:dyDescent="0.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4.25" customHeight="1" x14ac:dyDescent="0.3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4.25" customHeight="1" x14ac:dyDescent="0.3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4.25" customHeight="1" x14ac:dyDescent="0.3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4.25" customHeight="1" x14ac:dyDescent="0.3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4.25" customHeight="1" x14ac:dyDescent="0.3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4.25" customHeight="1" x14ac:dyDescent="0.3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4.25" customHeight="1" x14ac:dyDescent="0.3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4.25" customHeight="1" x14ac:dyDescent="0.3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4.25" customHeight="1" x14ac:dyDescent="0.3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4.25" customHeight="1" x14ac:dyDescent="0.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4.25" customHeight="1" x14ac:dyDescent="0.3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4.25" customHeight="1" x14ac:dyDescent="0.3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4.25" customHeight="1" x14ac:dyDescent="0.3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4.25" customHeight="1" x14ac:dyDescent="0.3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4.25" customHeight="1" x14ac:dyDescent="0.3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4.25" customHeight="1" x14ac:dyDescent="0.3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4.25" customHeight="1" x14ac:dyDescent="0.3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4.25" customHeight="1" x14ac:dyDescent="0.3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4.25" customHeight="1" x14ac:dyDescent="0.3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4.25" customHeight="1" x14ac:dyDescent="0.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4.25" customHeight="1" x14ac:dyDescent="0.3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4.25" customHeight="1" x14ac:dyDescent="0.3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4.25" customHeight="1" x14ac:dyDescent="0.3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4.25" customHeight="1" x14ac:dyDescent="0.3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4.25" customHeight="1" x14ac:dyDescent="0.3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4.25" customHeight="1" x14ac:dyDescent="0.3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4.25" customHeight="1" x14ac:dyDescent="0.3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4.25" customHeight="1" x14ac:dyDescent="0.3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4.25" customHeight="1" x14ac:dyDescent="0.3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4.25" customHeight="1" x14ac:dyDescent="0.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4.25" customHeight="1" x14ac:dyDescent="0.3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4.25" customHeight="1" x14ac:dyDescent="0.3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4.25" customHeight="1" x14ac:dyDescent="0.3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4.25" customHeight="1" x14ac:dyDescent="0.3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4.25" customHeight="1" x14ac:dyDescent="0.3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4.25" customHeight="1" x14ac:dyDescent="0.3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4.25" customHeight="1" x14ac:dyDescent="0.3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4.25" customHeight="1" x14ac:dyDescent="0.3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4.25" customHeight="1" x14ac:dyDescent="0.3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4.25" customHeight="1" x14ac:dyDescent="0.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4.25" customHeight="1" x14ac:dyDescent="0.3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4.25" customHeight="1" x14ac:dyDescent="0.3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4.25" customHeight="1" x14ac:dyDescent="0.3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4.25" customHeight="1" x14ac:dyDescent="0.3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4.25" customHeight="1" x14ac:dyDescent="0.3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4.25" customHeight="1" x14ac:dyDescent="0.3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4.25" customHeight="1" x14ac:dyDescent="0.3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4.25" customHeight="1" x14ac:dyDescent="0.3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4.25" customHeight="1" x14ac:dyDescent="0.3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4.25" customHeight="1" x14ac:dyDescent="0.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4.25" customHeight="1" x14ac:dyDescent="0.3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4.25" customHeight="1" x14ac:dyDescent="0.3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4.25" customHeight="1" x14ac:dyDescent="0.3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4.25" customHeight="1" x14ac:dyDescent="0.3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4.25" customHeight="1" x14ac:dyDescent="0.3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4.25" customHeight="1" x14ac:dyDescent="0.3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4.25" customHeight="1" x14ac:dyDescent="0.3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4.25" customHeight="1" x14ac:dyDescent="0.3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4.25" customHeight="1" x14ac:dyDescent="0.3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4.25" customHeight="1" x14ac:dyDescent="0.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4.25" customHeight="1" x14ac:dyDescent="0.3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4.25" customHeight="1" x14ac:dyDescent="0.3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4.25" customHeight="1" x14ac:dyDescent="0.3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4.25" customHeight="1" x14ac:dyDescent="0.3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4.25" customHeight="1" x14ac:dyDescent="0.3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4.25" customHeight="1" x14ac:dyDescent="0.3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4.25" customHeight="1" x14ac:dyDescent="0.3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4.25" customHeight="1" x14ac:dyDescent="0.3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4.25" customHeight="1" x14ac:dyDescent="0.3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4.25" customHeight="1" x14ac:dyDescent="0.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4.25" customHeight="1" x14ac:dyDescent="0.3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4.25" customHeight="1" x14ac:dyDescent="0.3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4.25" customHeight="1" x14ac:dyDescent="0.3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4.25" customHeight="1" x14ac:dyDescent="0.3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4.25" customHeight="1" x14ac:dyDescent="0.3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4.25" customHeight="1" x14ac:dyDescent="0.3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4.25" customHeight="1" x14ac:dyDescent="0.3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4.25" customHeight="1" x14ac:dyDescent="0.3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4.25" customHeight="1" x14ac:dyDescent="0.3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4.25" customHeight="1" x14ac:dyDescent="0.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4.25" customHeight="1" x14ac:dyDescent="0.3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4.25" customHeight="1" x14ac:dyDescent="0.3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4.25" customHeight="1" x14ac:dyDescent="0.3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4.25" customHeight="1" x14ac:dyDescent="0.3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4.25" customHeight="1" x14ac:dyDescent="0.3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4.25" customHeight="1" x14ac:dyDescent="0.3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4.25" customHeight="1" x14ac:dyDescent="0.3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4.25" customHeight="1" x14ac:dyDescent="0.3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4.25" customHeight="1" x14ac:dyDescent="0.3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4.25" customHeight="1" x14ac:dyDescent="0.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4.25" customHeight="1" x14ac:dyDescent="0.3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4.25" customHeight="1" x14ac:dyDescent="0.3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4.25" customHeight="1" x14ac:dyDescent="0.3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4.25" customHeight="1" x14ac:dyDescent="0.3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4.25" customHeight="1" x14ac:dyDescent="0.3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4.25" customHeight="1" x14ac:dyDescent="0.3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4.25" customHeight="1" x14ac:dyDescent="0.3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4.25" customHeight="1" x14ac:dyDescent="0.3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4.25" customHeight="1" x14ac:dyDescent="0.3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4.25" customHeight="1" x14ac:dyDescent="0.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4.25" customHeight="1" x14ac:dyDescent="0.3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4.25" customHeight="1" x14ac:dyDescent="0.3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4.25" customHeight="1" x14ac:dyDescent="0.3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4.25" customHeight="1" x14ac:dyDescent="0.3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4.25" customHeight="1" x14ac:dyDescent="0.3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4.25" customHeight="1" x14ac:dyDescent="0.3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4.25" customHeight="1" x14ac:dyDescent="0.3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4.25" customHeight="1" x14ac:dyDescent="0.3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4.25" customHeight="1" x14ac:dyDescent="0.3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4.25" customHeight="1" x14ac:dyDescent="0.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4.25" customHeight="1" x14ac:dyDescent="0.3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4.25" customHeight="1" x14ac:dyDescent="0.3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4.25" customHeight="1" x14ac:dyDescent="0.3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4.25" customHeight="1" x14ac:dyDescent="0.3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4.25" customHeight="1" x14ac:dyDescent="0.3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4.25" customHeight="1" x14ac:dyDescent="0.3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4.25" customHeight="1" x14ac:dyDescent="0.3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4.25" customHeight="1" x14ac:dyDescent="0.3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4.25" customHeight="1" x14ac:dyDescent="0.3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4.25" customHeight="1" x14ac:dyDescent="0.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4.25" customHeight="1" x14ac:dyDescent="0.3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4.25" customHeight="1" x14ac:dyDescent="0.3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4.25" customHeight="1" x14ac:dyDescent="0.3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4.25" customHeight="1" x14ac:dyDescent="0.3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4.25" customHeight="1" x14ac:dyDescent="0.3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4.25" customHeight="1" x14ac:dyDescent="0.3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4.25" customHeight="1" x14ac:dyDescent="0.3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4.25" customHeight="1" x14ac:dyDescent="0.3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4.25" customHeight="1" x14ac:dyDescent="0.3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4.25" customHeight="1" x14ac:dyDescent="0.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4.25" customHeight="1" x14ac:dyDescent="0.3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4.25" customHeight="1" x14ac:dyDescent="0.3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4.25" customHeight="1" x14ac:dyDescent="0.3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4.25" customHeight="1" x14ac:dyDescent="0.3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4.25" customHeight="1" x14ac:dyDescent="0.3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4.25" customHeight="1" x14ac:dyDescent="0.3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4.25" customHeight="1" x14ac:dyDescent="0.3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4.25" customHeight="1" x14ac:dyDescent="0.3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4.25" customHeight="1" x14ac:dyDescent="0.3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4.25" customHeight="1" x14ac:dyDescent="0.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4.25" customHeight="1" x14ac:dyDescent="0.3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4.25" customHeight="1" x14ac:dyDescent="0.3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4.25" customHeight="1" x14ac:dyDescent="0.3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4.25" customHeight="1" x14ac:dyDescent="0.3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4.25" customHeight="1" x14ac:dyDescent="0.3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4.25" customHeight="1" x14ac:dyDescent="0.3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4.25" customHeight="1" x14ac:dyDescent="0.3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4.25" customHeight="1" x14ac:dyDescent="0.3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4.25" customHeight="1" x14ac:dyDescent="0.3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4.25" customHeight="1" x14ac:dyDescent="0.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4.25" customHeight="1" x14ac:dyDescent="0.3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4.25" customHeight="1" x14ac:dyDescent="0.3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4.25" customHeight="1" x14ac:dyDescent="0.3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4.25" customHeight="1" x14ac:dyDescent="0.3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4.25" customHeight="1" x14ac:dyDescent="0.3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4.25" customHeight="1" x14ac:dyDescent="0.3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4.25" customHeight="1" x14ac:dyDescent="0.3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4.25" customHeight="1" x14ac:dyDescent="0.3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4.25" customHeight="1" x14ac:dyDescent="0.3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4.25" customHeight="1" x14ac:dyDescent="0.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4.25" customHeight="1" x14ac:dyDescent="0.3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4.25" customHeight="1" x14ac:dyDescent="0.3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4.25" customHeight="1" x14ac:dyDescent="0.3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4.25" customHeight="1" x14ac:dyDescent="0.3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4.25" customHeight="1" x14ac:dyDescent="0.3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4.25" customHeight="1" x14ac:dyDescent="0.3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4.25" customHeight="1" x14ac:dyDescent="0.3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4.25" customHeight="1" x14ac:dyDescent="0.3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4.25" customHeight="1" x14ac:dyDescent="0.3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4.25" customHeight="1" x14ac:dyDescent="0.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4.25" customHeight="1" x14ac:dyDescent="0.3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4.25" customHeight="1" x14ac:dyDescent="0.3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4.25" customHeight="1" x14ac:dyDescent="0.3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4.25" customHeight="1" x14ac:dyDescent="0.3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4.25" customHeight="1" x14ac:dyDescent="0.3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4.25" customHeight="1" x14ac:dyDescent="0.3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4.25" customHeight="1" x14ac:dyDescent="0.3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4.25" customHeight="1" x14ac:dyDescent="0.3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4.25" customHeight="1" x14ac:dyDescent="0.3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4.25" customHeight="1" x14ac:dyDescent="0.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4.25" customHeight="1" x14ac:dyDescent="0.3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4.25" customHeight="1" x14ac:dyDescent="0.3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4.25" customHeight="1" x14ac:dyDescent="0.3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4.25" customHeight="1" x14ac:dyDescent="0.3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4.25" customHeight="1" x14ac:dyDescent="0.3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4.25" customHeight="1" x14ac:dyDescent="0.3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4.25" customHeight="1" x14ac:dyDescent="0.3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4.25" customHeight="1" x14ac:dyDescent="0.3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4.25" customHeight="1" x14ac:dyDescent="0.3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4.25" customHeight="1" x14ac:dyDescent="0.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4.25" customHeight="1" x14ac:dyDescent="0.3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4.25" customHeight="1" x14ac:dyDescent="0.3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4.25" customHeight="1" x14ac:dyDescent="0.3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4.25" customHeight="1" x14ac:dyDescent="0.3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4.25" customHeight="1" x14ac:dyDescent="0.3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4.25" customHeight="1" x14ac:dyDescent="0.3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4.25" customHeight="1" x14ac:dyDescent="0.3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4.25" customHeight="1" x14ac:dyDescent="0.3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4.25" customHeight="1" x14ac:dyDescent="0.3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4.25" customHeight="1" x14ac:dyDescent="0.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4.25" customHeight="1" x14ac:dyDescent="0.3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4.25" customHeight="1" x14ac:dyDescent="0.3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4.25" customHeight="1" x14ac:dyDescent="0.3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4.25" customHeight="1" x14ac:dyDescent="0.3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4.25" customHeight="1" x14ac:dyDescent="0.3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4.25" customHeight="1" x14ac:dyDescent="0.3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4.25" customHeight="1" x14ac:dyDescent="0.3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4.25" customHeight="1" x14ac:dyDescent="0.3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4.25" customHeight="1" x14ac:dyDescent="0.3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4.25" customHeight="1" x14ac:dyDescent="0.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4.25" customHeight="1" x14ac:dyDescent="0.3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4.25" customHeight="1" x14ac:dyDescent="0.3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4.25" customHeight="1" x14ac:dyDescent="0.3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4.25" customHeight="1" x14ac:dyDescent="0.3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4.25" customHeight="1" x14ac:dyDescent="0.3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4.25" customHeight="1" x14ac:dyDescent="0.3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4.25" customHeight="1" x14ac:dyDescent="0.3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4.25" customHeight="1" x14ac:dyDescent="0.3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4.25" customHeight="1" x14ac:dyDescent="0.3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4.25" customHeight="1" x14ac:dyDescent="0.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4.25" customHeight="1" x14ac:dyDescent="0.3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4.25" customHeight="1" x14ac:dyDescent="0.3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4.25" customHeight="1" x14ac:dyDescent="0.3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4.25" customHeight="1" x14ac:dyDescent="0.3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4.25" customHeight="1" x14ac:dyDescent="0.3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4.25" customHeight="1" x14ac:dyDescent="0.3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4.25" customHeight="1" x14ac:dyDescent="0.3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4.25" customHeight="1" x14ac:dyDescent="0.3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4.25" customHeight="1" x14ac:dyDescent="0.3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4.25" customHeight="1" x14ac:dyDescent="0.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4.25" customHeight="1" x14ac:dyDescent="0.3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4.25" customHeight="1" x14ac:dyDescent="0.3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4.25" customHeight="1" x14ac:dyDescent="0.3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4.25" customHeight="1" x14ac:dyDescent="0.3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4.25" customHeight="1" x14ac:dyDescent="0.3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4.25" customHeight="1" x14ac:dyDescent="0.3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4.25" customHeight="1" x14ac:dyDescent="0.3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4.25" customHeight="1" x14ac:dyDescent="0.3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4.25" customHeight="1" x14ac:dyDescent="0.3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4.25" customHeight="1" x14ac:dyDescent="0.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4.25" customHeight="1" x14ac:dyDescent="0.3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4.25" customHeight="1" x14ac:dyDescent="0.3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4.25" customHeight="1" x14ac:dyDescent="0.3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4.25" customHeight="1" x14ac:dyDescent="0.3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4.25" customHeight="1" x14ac:dyDescent="0.3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4.25" customHeight="1" x14ac:dyDescent="0.3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4.25" customHeight="1" x14ac:dyDescent="0.3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4.25" customHeight="1" x14ac:dyDescent="0.3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4.25" customHeight="1" x14ac:dyDescent="0.3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4.25" customHeight="1" x14ac:dyDescent="0.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4.25" customHeight="1" x14ac:dyDescent="0.3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4.25" customHeight="1" x14ac:dyDescent="0.3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4.25" customHeight="1" x14ac:dyDescent="0.3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4.25" customHeight="1" x14ac:dyDescent="0.3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4.25" customHeight="1" x14ac:dyDescent="0.3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4.25" customHeight="1" x14ac:dyDescent="0.3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4.25" customHeight="1" x14ac:dyDescent="0.3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4.25" customHeight="1" x14ac:dyDescent="0.3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4.25" customHeight="1" x14ac:dyDescent="0.3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4.25" customHeight="1" x14ac:dyDescent="0.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4.25" customHeight="1" x14ac:dyDescent="0.3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4.25" customHeight="1" x14ac:dyDescent="0.3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4.25" customHeight="1" x14ac:dyDescent="0.3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4.25" customHeight="1" x14ac:dyDescent="0.3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4.25" customHeight="1" x14ac:dyDescent="0.3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4.25" customHeight="1" x14ac:dyDescent="0.3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4.25" customHeight="1" x14ac:dyDescent="0.3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4.25" customHeight="1" x14ac:dyDescent="0.3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4.25" customHeight="1" x14ac:dyDescent="0.3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4.25" customHeight="1" x14ac:dyDescent="0.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4.25" customHeight="1" x14ac:dyDescent="0.3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4.25" customHeight="1" x14ac:dyDescent="0.3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4.25" customHeight="1" x14ac:dyDescent="0.3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4.25" customHeight="1" x14ac:dyDescent="0.3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4.25" customHeight="1" x14ac:dyDescent="0.3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4.25" customHeight="1" x14ac:dyDescent="0.3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4.25" customHeight="1" x14ac:dyDescent="0.3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4.25" customHeight="1" x14ac:dyDescent="0.3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4.25" customHeight="1" x14ac:dyDescent="0.3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4.25" customHeight="1" x14ac:dyDescent="0.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4.25" customHeight="1" x14ac:dyDescent="0.3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4.25" customHeight="1" x14ac:dyDescent="0.3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4.25" customHeight="1" x14ac:dyDescent="0.3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4.25" customHeight="1" x14ac:dyDescent="0.3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4.25" customHeight="1" x14ac:dyDescent="0.3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4.25" customHeight="1" x14ac:dyDescent="0.3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4.25" customHeight="1" x14ac:dyDescent="0.3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4.25" customHeight="1" x14ac:dyDescent="0.3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4.25" customHeight="1" x14ac:dyDescent="0.3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4.25" customHeight="1" x14ac:dyDescent="0.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4.25" customHeight="1" x14ac:dyDescent="0.3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4.25" customHeight="1" x14ac:dyDescent="0.3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4.25" customHeight="1" x14ac:dyDescent="0.3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4.25" customHeight="1" x14ac:dyDescent="0.3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4.25" customHeight="1" x14ac:dyDescent="0.3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4.25" customHeight="1" x14ac:dyDescent="0.3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4.25" customHeight="1" x14ac:dyDescent="0.3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4.25" customHeight="1" x14ac:dyDescent="0.3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4.25" customHeight="1" x14ac:dyDescent="0.3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4.25" customHeight="1" x14ac:dyDescent="0.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4.25" customHeight="1" x14ac:dyDescent="0.3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4.25" customHeight="1" x14ac:dyDescent="0.3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4.25" customHeight="1" x14ac:dyDescent="0.3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4.25" customHeight="1" x14ac:dyDescent="0.3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4.25" customHeight="1" x14ac:dyDescent="0.3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4.25" customHeight="1" x14ac:dyDescent="0.3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4.25" customHeight="1" x14ac:dyDescent="0.3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4.25" customHeight="1" x14ac:dyDescent="0.3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4.25" customHeight="1" x14ac:dyDescent="0.3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4.25" customHeight="1" x14ac:dyDescent="0.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4.25" customHeight="1" x14ac:dyDescent="0.3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4.25" customHeight="1" x14ac:dyDescent="0.3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4.25" customHeight="1" x14ac:dyDescent="0.3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4.25" customHeight="1" x14ac:dyDescent="0.3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4.25" customHeight="1" x14ac:dyDescent="0.3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4.25" customHeight="1" x14ac:dyDescent="0.3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4.25" customHeight="1" x14ac:dyDescent="0.3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4.25" customHeight="1" x14ac:dyDescent="0.3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4.25" customHeight="1" x14ac:dyDescent="0.3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4.25" customHeight="1" x14ac:dyDescent="0.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4.25" customHeight="1" x14ac:dyDescent="0.3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4.25" customHeight="1" x14ac:dyDescent="0.3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4.25" customHeight="1" x14ac:dyDescent="0.3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4.25" customHeight="1" x14ac:dyDescent="0.3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4.25" customHeight="1" x14ac:dyDescent="0.3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4.25" customHeight="1" x14ac:dyDescent="0.3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4.25" customHeight="1" x14ac:dyDescent="0.3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4.25" customHeight="1" x14ac:dyDescent="0.3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4.25" customHeight="1" x14ac:dyDescent="0.3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4.25" customHeight="1" x14ac:dyDescent="0.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4.25" customHeight="1" x14ac:dyDescent="0.3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4.25" customHeight="1" x14ac:dyDescent="0.3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4.25" customHeight="1" x14ac:dyDescent="0.3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4.25" customHeight="1" x14ac:dyDescent="0.3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4.25" customHeight="1" x14ac:dyDescent="0.3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4.25" customHeight="1" x14ac:dyDescent="0.3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4.25" customHeight="1" x14ac:dyDescent="0.3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4.25" customHeight="1" x14ac:dyDescent="0.3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4.25" customHeight="1" x14ac:dyDescent="0.3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4.25" customHeight="1" x14ac:dyDescent="0.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4.25" customHeight="1" x14ac:dyDescent="0.3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4.25" customHeight="1" x14ac:dyDescent="0.3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4.25" customHeight="1" x14ac:dyDescent="0.3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4.25" customHeight="1" x14ac:dyDescent="0.3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4.25" customHeight="1" x14ac:dyDescent="0.3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4.25" customHeight="1" x14ac:dyDescent="0.3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4.25" customHeight="1" x14ac:dyDescent="0.3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4.25" customHeight="1" x14ac:dyDescent="0.3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4.25" customHeight="1" x14ac:dyDescent="0.3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4.25" customHeight="1" x14ac:dyDescent="0.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4.25" customHeight="1" x14ac:dyDescent="0.3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4.25" customHeight="1" x14ac:dyDescent="0.3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4.25" customHeight="1" x14ac:dyDescent="0.3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4.25" customHeight="1" x14ac:dyDescent="0.3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4.25" customHeight="1" x14ac:dyDescent="0.3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4.25" customHeight="1" x14ac:dyDescent="0.3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4.25" customHeight="1" x14ac:dyDescent="0.3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4.25" customHeight="1" x14ac:dyDescent="0.3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4.25" customHeight="1" x14ac:dyDescent="0.3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4.25" customHeight="1" x14ac:dyDescent="0.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4.25" customHeight="1" x14ac:dyDescent="0.3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4.25" customHeight="1" x14ac:dyDescent="0.3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4.25" customHeight="1" x14ac:dyDescent="0.3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4.25" customHeight="1" x14ac:dyDescent="0.3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4.25" customHeight="1" x14ac:dyDescent="0.3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4.25" customHeight="1" x14ac:dyDescent="0.3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4.25" customHeight="1" x14ac:dyDescent="0.3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4.25" customHeight="1" x14ac:dyDescent="0.3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4.25" customHeight="1" x14ac:dyDescent="0.3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4.25" customHeight="1" x14ac:dyDescent="0.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4.25" customHeight="1" x14ac:dyDescent="0.3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4.25" customHeight="1" x14ac:dyDescent="0.3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4.25" customHeight="1" x14ac:dyDescent="0.3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4.25" customHeight="1" x14ac:dyDescent="0.3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4.25" customHeight="1" x14ac:dyDescent="0.3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4.25" customHeight="1" x14ac:dyDescent="0.3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4.25" customHeight="1" x14ac:dyDescent="0.3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4.25" customHeight="1" x14ac:dyDescent="0.3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4.25" customHeight="1" x14ac:dyDescent="0.3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4.25" customHeight="1" x14ac:dyDescent="0.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4.25" customHeight="1" x14ac:dyDescent="0.3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4.25" customHeight="1" x14ac:dyDescent="0.3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4.25" customHeight="1" x14ac:dyDescent="0.3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4.25" customHeight="1" x14ac:dyDescent="0.3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4.25" customHeight="1" x14ac:dyDescent="0.3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4.25" customHeight="1" x14ac:dyDescent="0.3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4.25" customHeight="1" x14ac:dyDescent="0.3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4.25" customHeight="1" x14ac:dyDescent="0.3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4.25" customHeight="1" x14ac:dyDescent="0.3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4.25" customHeight="1" x14ac:dyDescent="0.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4.25" customHeight="1" x14ac:dyDescent="0.3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4.25" customHeight="1" x14ac:dyDescent="0.3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4.25" customHeight="1" x14ac:dyDescent="0.3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4.25" customHeight="1" x14ac:dyDescent="0.3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4.25" customHeight="1" x14ac:dyDescent="0.3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4.25" customHeight="1" x14ac:dyDescent="0.3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4.25" customHeight="1" x14ac:dyDescent="0.3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4.25" customHeight="1" x14ac:dyDescent="0.3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4.25" customHeight="1" x14ac:dyDescent="0.3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4.25" customHeight="1" x14ac:dyDescent="0.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4.25" customHeight="1" x14ac:dyDescent="0.3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4.25" customHeight="1" x14ac:dyDescent="0.3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4.25" customHeight="1" x14ac:dyDescent="0.3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4.25" customHeight="1" x14ac:dyDescent="0.3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4.25" customHeight="1" x14ac:dyDescent="0.3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4.25" customHeight="1" x14ac:dyDescent="0.3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4.25" customHeight="1" x14ac:dyDescent="0.3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4.25" customHeight="1" x14ac:dyDescent="0.3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4.25" customHeight="1" x14ac:dyDescent="0.3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4.25" customHeight="1" x14ac:dyDescent="0.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4.25" customHeight="1" x14ac:dyDescent="0.3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4.25" customHeight="1" x14ac:dyDescent="0.3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4.25" customHeight="1" x14ac:dyDescent="0.3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4.25" customHeight="1" x14ac:dyDescent="0.3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4.25" customHeight="1" x14ac:dyDescent="0.3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4.25" customHeight="1" x14ac:dyDescent="0.3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4.25" customHeight="1" x14ac:dyDescent="0.3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4.25" customHeight="1" x14ac:dyDescent="0.3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4.25" customHeight="1" x14ac:dyDescent="0.3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4.25" customHeight="1" x14ac:dyDescent="0.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4.25" customHeight="1" x14ac:dyDescent="0.3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4.25" customHeight="1" x14ac:dyDescent="0.3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4.25" customHeight="1" x14ac:dyDescent="0.3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4.25" customHeight="1" x14ac:dyDescent="0.3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4.25" customHeight="1" x14ac:dyDescent="0.3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4.25" customHeight="1" x14ac:dyDescent="0.3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4.25" customHeight="1" x14ac:dyDescent="0.3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4.25" customHeight="1" x14ac:dyDescent="0.3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4.25" customHeight="1" x14ac:dyDescent="0.3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4.25" customHeight="1" x14ac:dyDescent="0.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4.25" customHeight="1" x14ac:dyDescent="0.3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4.25" customHeight="1" x14ac:dyDescent="0.3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4.25" customHeight="1" x14ac:dyDescent="0.3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4.25" customHeight="1" x14ac:dyDescent="0.3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4.25" customHeight="1" x14ac:dyDescent="0.3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4.25" customHeight="1" x14ac:dyDescent="0.3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4.25" customHeight="1" x14ac:dyDescent="0.3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4.25" customHeight="1" x14ac:dyDescent="0.3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4.25" customHeight="1" x14ac:dyDescent="0.3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4.25" customHeight="1" x14ac:dyDescent="0.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4.25" customHeight="1" x14ac:dyDescent="0.3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4.25" customHeight="1" x14ac:dyDescent="0.3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4.25" customHeight="1" x14ac:dyDescent="0.3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4.25" customHeight="1" x14ac:dyDescent="0.3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4.25" customHeight="1" x14ac:dyDescent="0.3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4.25" customHeight="1" x14ac:dyDescent="0.3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4.25" customHeight="1" x14ac:dyDescent="0.3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4.25" customHeight="1" x14ac:dyDescent="0.3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4.25" customHeight="1" x14ac:dyDescent="0.3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4.25" customHeight="1" x14ac:dyDescent="0.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4.25" customHeight="1" x14ac:dyDescent="0.3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4.25" customHeight="1" x14ac:dyDescent="0.3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4.25" customHeight="1" x14ac:dyDescent="0.3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4.25" customHeight="1" x14ac:dyDescent="0.3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4.25" customHeight="1" x14ac:dyDescent="0.3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4.25" customHeight="1" x14ac:dyDescent="0.3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4.25" customHeight="1" x14ac:dyDescent="0.3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4.25" customHeight="1" x14ac:dyDescent="0.3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4.25" customHeight="1" x14ac:dyDescent="0.3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4.25" customHeight="1" x14ac:dyDescent="0.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4.25" customHeight="1" x14ac:dyDescent="0.3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4.25" customHeight="1" x14ac:dyDescent="0.3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4.25" customHeight="1" x14ac:dyDescent="0.3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4.25" customHeight="1" x14ac:dyDescent="0.3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4.25" customHeight="1" x14ac:dyDescent="0.3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4.25" customHeight="1" x14ac:dyDescent="0.3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4.25" customHeight="1" x14ac:dyDescent="0.3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4.25" customHeight="1" x14ac:dyDescent="0.3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4.25" customHeight="1" x14ac:dyDescent="0.3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4.25" customHeight="1" x14ac:dyDescent="0.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4.25" customHeight="1" x14ac:dyDescent="0.3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4.25" customHeight="1" x14ac:dyDescent="0.3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4.25" customHeight="1" x14ac:dyDescent="0.3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4.25" customHeight="1" x14ac:dyDescent="0.3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4.25" customHeight="1" x14ac:dyDescent="0.3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4.25" customHeight="1" x14ac:dyDescent="0.3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4.25" customHeight="1" x14ac:dyDescent="0.3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4.25" customHeight="1" x14ac:dyDescent="0.3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4.25" customHeight="1" x14ac:dyDescent="0.3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4.25" customHeight="1" x14ac:dyDescent="0.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4.25" customHeight="1" x14ac:dyDescent="0.3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4.25" customHeight="1" x14ac:dyDescent="0.3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4.25" customHeight="1" x14ac:dyDescent="0.3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4.25" customHeight="1" x14ac:dyDescent="0.3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4.25" customHeight="1" x14ac:dyDescent="0.3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4.25" customHeight="1" x14ac:dyDescent="0.3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4.25" customHeight="1" x14ac:dyDescent="0.3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4.25" customHeight="1" x14ac:dyDescent="0.3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4.25" customHeight="1" x14ac:dyDescent="0.3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4.25" customHeight="1" x14ac:dyDescent="0.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4.25" customHeight="1" x14ac:dyDescent="0.3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4.25" customHeight="1" x14ac:dyDescent="0.3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4.25" customHeight="1" x14ac:dyDescent="0.3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4.25" customHeight="1" x14ac:dyDescent="0.3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4.25" customHeight="1" x14ac:dyDescent="0.3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4.25" customHeight="1" x14ac:dyDescent="0.3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4.25" customHeight="1" x14ac:dyDescent="0.3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4.25" customHeight="1" x14ac:dyDescent="0.3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4.25" customHeight="1" x14ac:dyDescent="0.3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4.25" customHeight="1" x14ac:dyDescent="0.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4.25" customHeight="1" x14ac:dyDescent="0.3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4.25" customHeight="1" x14ac:dyDescent="0.3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4.25" customHeight="1" x14ac:dyDescent="0.3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4.25" customHeight="1" x14ac:dyDescent="0.3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4.25" customHeight="1" x14ac:dyDescent="0.3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4.25" customHeight="1" x14ac:dyDescent="0.3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4.25" customHeight="1" x14ac:dyDescent="0.3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4.25" customHeight="1" x14ac:dyDescent="0.3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4.25" customHeight="1" x14ac:dyDescent="0.3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4.25" customHeight="1" x14ac:dyDescent="0.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4.25" customHeight="1" x14ac:dyDescent="0.3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4.25" customHeight="1" x14ac:dyDescent="0.3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4.25" customHeight="1" x14ac:dyDescent="0.3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4.25" customHeight="1" x14ac:dyDescent="0.3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4.25" customHeight="1" x14ac:dyDescent="0.3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4.25" customHeight="1" x14ac:dyDescent="0.3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4.25" customHeight="1" x14ac:dyDescent="0.3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4.25" customHeight="1" x14ac:dyDescent="0.3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4.25" customHeight="1" x14ac:dyDescent="0.3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4.25" customHeight="1" x14ac:dyDescent="0.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4.25" customHeight="1" x14ac:dyDescent="0.3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4.25" customHeight="1" x14ac:dyDescent="0.3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4.25" customHeight="1" x14ac:dyDescent="0.3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4.25" customHeight="1" x14ac:dyDescent="0.3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4.25" customHeight="1" x14ac:dyDescent="0.3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4.25" customHeight="1" x14ac:dyDescent="0.3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4.25" customHeight="1" x14ac:dyDescent="0.3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4.25" customHeight="1" x14ac:dyDescent="0.3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4.25" customHeight="1" x14ac:dyDescent="0.3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4.25" customHeight="1" x14ac:dyDescent="0.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4.25" customHeight="1" x14ac:dyDescent="0.3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4.25" customHeight="1" x14ac:dyDescent="0.3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4.25" customHeight="1" x14ac:dyDescent="0.3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4.25" customHeight="1" x14ac:dyDescent="0.3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4.25" customHeight="1" x14ac:dyDescent="0.3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4.25" customHeight="1" x14ac:dyDescent="0.3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4.25" customHeight="1" x14ac:dyDescent="0.3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4.25" customHeight="1" x14ac:dyDescent="0.3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4.25" customHeight="1" x14ac:dyDescent="0.3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4.25" customHeight="1" x14ac:dyDescent="0.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4.25" customHeight="1" x14ac:dyDescent="0.3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4.25" customHeight="1" x14ac:dyDescent="0.3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4.25" customHeight="1" x14ac:dyDescent="0.3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4.25" customHeight="1" x14ac:dyDescent="0.3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4.25" customHeight="1" x14ac:dyDescent="0.3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4.25" customHeight="1" x14ac:dyDescent="0.3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4.25" customHeight="1" x14ac:dyDescent="0.3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4.25" customHeight="1" x14ac:dyDescent="0.3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4.25" customHeight="1" x14ac:dyDescent="0.3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4.25" customHeight="1" x14ac:dyDescent="0.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4.25" customHeight="1" x14ac:dyDescent="0.3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4.25" customHeight="1" x14ac:dyDescent="0.3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4.25" customHeight="1" x14ac:dyDescent="0.3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4.25" customHeight="1" x14ac:dyDescent="0.3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4.25" customHeight="1" x14ac:dyDescent="0.3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4.25" customHeight="1" x14ac:dyDescent="0.3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4.25" customHeight="1" x14ac:dyDescent="0.3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4.25" customHeight="1" x14ac:dyDescent="0.3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4.25" customHeight="1" x14ac:dyDescent="0.3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4.25" customHeight="1" x14ac:dyDescent="0.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4.25" customHeight="1" x14ac:dyDescent="0.3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4.25" customHeight="1" x14ac:dyDescent="0.3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4.25" customHeight="1" x14ac:dyDescent="0.3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4.25" customHeight="1" x14ac:dyDescent="0.3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4.25" customHeight="1" x14ac:dyDescent="0.3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4.25" customHeight="1" x14ac:dyDescent="0.3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4.25" customHeight="1" x14ac:dyDescent="0.3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4.25" customHeight="1" x14ac:dyDescent="0.3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4.25" customHeight="1" x14ac:dyDescent="0.3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4.25" customHeight="1" x14ac:dyDescent="0.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4.25" customHeight="1" x14ac:dyDescent="0.3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4.25" customHeight="1" x14ac:dyDescent="0.3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4.25" customHeight="1" x14ac:dyDescent="0.3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4.25" customHeight="1" x14ac:dyDescent="0.3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4.25" customHeight="1" x14ac:dyDescent="0.3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4.25" customHeight="1" x14ac:dyDescent="0.3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4.25" customHeight="1" x14ac:dyDescent="0.3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4.25" customHeight="1" x14ac:dyDescent="0.3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4.25" customHeight="1" x14ac:dyDescent="0.3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4.25" customHeight="1" x14ac:dyDescent="0.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4.25" customHeight="1" x14ac:dyDescent="0.3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4.25" customHeight="1" x14ac:dyDescent="0.3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4.25" customHeight="1" x14ac:dyDescent="0.3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4.25" customHeight="1" x14ac:dyDescent="0.3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4.25" customHeight="1" x14ac:dyDescent="0.3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4.25" customHeight="1" x14ac:dyDescent="0.3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4.25" customHeight="1" x14ac:dyDescent="0.3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4.25" customHeight="1" x14ac:dyDescent="0.3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4.25" customHeight="1" x14ac:dyDescent="0.3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4.25" customHeight="1" x14ac:dyDescent="0.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4.25" customHeight="1" x14ac:dyDescent="0.3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4.25" customHeight="1" x14ac:dyDescent="0.3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4.25" customHeight="1" x14ac:dyDescent="0.3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4.25" customHeight="1" x14ac:dyDescent="0.3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4.25" customHeight="1" x14ac:dyDescent="0.3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4.25" customHeight="1" x14ac:dyDescent="0.3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4.25" customHeight="1" x14ac:dyDescent="0.3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autoFilter ref="A1:F870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2" ySplit="8" topLeftCell="C14" activePane="bottomRight" state="frozen"/>
      <selection pane="topRight"/>
      <selection pane="bottomLeft"/>
      <selection pane="bottomRight" activeCell="I7" sqref="I7"/>
    </sheetView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2"/>
      <c r="B1" s="5"/>
      <c r="C1" s="5"/>
      <c r="D1" s="5"/>
      <c r="E1" s="5"/>
      <c r="F1" s="6"/>
      <c r="G1" s="9"/>
      <c r="H1" s="6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" customHeight="1" x14ac:dyDescent="0.3">
      <c r="A2" s="15" t="s">
        <v>94</v>
      </c>
      <c r="B2" s="117" t="s">
        <v>33</v>
      </c>
      <c r="C2" s="101"/>
      <c r="D2" s="101"/>
      <c r="E2" s="101"/>
      <c r="F2" s="101"/>
      <c r="G2" s="101"/>
      <c r="H2" s="102"/>
      <c r="I2" s="12"/>
      <c r="J2" s="13" t="s">
        <v>95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5.5" customHeight="1" x14ac:dyDescent="0.3">
      <c r="A3" s="23" t="s">
        <v>96</v>
      </c>
      <c r="B3" s="117" t="s">
        <v>32</v>
      </c>
      <c r="C3" s="101"/>
      <c r="D3" s="101"/>
      <c r="E3" s="101"/>
      <c r="F3" s="101"/>
      <c r="G3" s="101"/>
      <c r="H3" s="102"/>
      <c r="I3" s="12"/>
      <c r="J3" s="13" t="s">
        <v>97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8" customHeight="1" x14ac:dyDescent="0.3">
      <c r="A4" s="15" t="s">
        <v>98</v>
      </c>
      <c r="B4" s="117" t="s">
        <v>4</v>
      </c>
      <c r="C4" s="101"/>
      <c r="D4" s="101"/>
      <c r="E4" s="101"/>
      <c r="F4" s="101"/>
      <c r="G4" s="101"/>
      <c r="H4" s="102"/>
      <c r="I4" s="12"/>
      <c r="J4" s="13" t="s">
        <v>99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3">
      <c r="A5" s="27" t="s">
        <v>95</v>
      </c>
      <c r="B5" s="28" t="s">
        <v>97</v>
      </c>
      <c r="C5" s="28" t="s">
        <v>100</v>
      </c>
      <c r="D5" s="28" t="s">
        <v>99</v>
      </c>
      <c r="E5" s="29" t="s">
        <v>101</v>
      </c>
      <c r="F5" s="116" t="s">
        <v>102</v>
      </c>
      <c r="G5" s="101"/>
      <c r="H5" s="102"/>
      <c r="I5" s="30"/>
      <c r="J5" s="13" t="s">
        <v>100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" customHeight="1" x14ac:dyDescent="0.3">
      <c r="A6" s="33">
        <f>COUNTIF(F9:F996,"Passed")</f>
        <v>0</v>
      </c>
      <c r="B6" s="35">
        <f>COUNTIF(F9:F996,"Failed")</f>
        <v>0</v>
      </c>
      <c r="C6" s="35">
        <f>F6-E6-D6-B6-A6</f>
        <v>30</v>
      </c>
      <c r="D6" s="35">
        <f>COUNTIF(F9:F996,"Blocked")</f>
        <v>0</v>
      </c>
      <c r="E6" s="40">
        <f>COUNTIF(F9:F996,"Skipped")</f>
        <v>0</v>
      </c>
      <c r="F6" s="115">
        <f>COUNTIF(B9:B996,"?*")</f>
        <v>30</v>
      </c>
      <c r="G6" s="101"/>
      <c r="H6" s="102"/>
      <c r="I6" s="30"/>
      <c r="J6" s="13" t="s">
        <v>101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" customHeight="1" x14ac:dyDescent="0.3">
      <c r="A7" s="13"/>
      <c r="B7" s="13"/>
      <c r="C7" s="13"/>
      <c r="D7" s="46"/>
      <c r="E7" s="46"/>
      <c r="F7" s="48"/>
      <c r="G7" s="48"/>
      <c r="H7" s="48"/>
      <c r="I7" s="3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4" x14ac:dyDescent="0.3">
      <c r="A8" s="49" t="s">
        <v>103</v>
      </c>
      <c r="B8" s="50" t="s">
        <v>104</v>
      </c>
      <c r="C8" s="50" t="s">
        <v>105</v>
      </c>
      <c r="D8" s="50" t="s">
        <v>106</v>
      </c>
      <c r="E8" s="52" t="s">
        <v>107</v>
      </c>
      <c r="F8" s="52" t="s">
        <v>108</v>
      </c>
      <c r="G8" s="52" t="s">
        <v>109</v>
      </c>
      <c r="H8" s="54" t="s">
        <v>47</v>
      </c>
      <c r="I8" s="5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07" x14ac:dyDescent="0.3">
      <c r="A9" s="58" t="str">
        <f t="shared" ref="A9:A40" si="0">IF(OR(B9&lt;&gt;"",D9&lt;&gt;""),"["&amp;$B$2&amp;"-"&amp;(ROW()-8)&amp;"]","")</f>
        <v>[Accessory-1]</v>
      </c>
      <c r="B9" s="59" t="s">
        <v>110</v>
      </c>
      <c r="C9" s="59" t="s">
        <v>111</v>
      </c>
      <c r="D9" s="59" t="s">
        <v>112</v>
      </c>
      <c r="E9" s="59"/>
      <c r="F9" s="62" t="s">
        <v>100</v>
      </c>
      <c r="G9" s="63"/>
      <c r="H9" s="64" t="s">
        <v>113</v>
      </c>
      <c r="I9" s="6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20.8" x14ac:dyDescent="0.3">
      <c r="A10" s="58" t="str">
        <f t="shared" si="0"/>
        <v>[Accessory-2]</v>
      </c>
      <c r="B10" s="59" t="s">
        <v>114</v>
      </c>
      <c r="C10" s="59" t="s">
        <v>115</v>
      </c>
      <c r="D10" s="59" t="s">
        <v>116</v>
      </c>
      <c r="E10" s="59"/>
      <c r="F10" s="62" t="s">
        <v>100</v>
      </c>
      <c r="G10" s="63"/>
      <c r="H10" s="64" t="s">
        <v>113</v>
      </c>
      <c r="I10" s="6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20.8" x14ac:dyDescent="0.3">
      <c r="A11" s="58" t="str">
        <f t="shared" si="0"/>
        <v>[Accessory-3]</v>
      </c>
      <c r="B11" s="59" t="s">
        <v>117</v>
      </c>
      <c r="C11" s="59" t="s">
        <v>118</v>
      </c>
      <c r="D11" s="59" t="s">
        <v>119</v>
      </c>
      <c r="E11" s="59"/>
      <c r="F11" s="62" t="s">
        <v>100</v>
      </c>
      <c r="G11" s="63"/>
      <c r="H11" s="64" t="s">
        <v>113</v>
      </c>
      <c r="I11" s="66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34.6" x14ac:dyDescent="0.3">
      <c r="A12" s="58" t="str">
        <f t="shared" si="0"/>
        <v>[Accessory-4]</v>
      </c>
      <c r="B12" s="59" t="s">
        <v>120</v>
      </c>
      <c r="C12" s="59" t="s">
        <v>121</v>
      </c>
      <c r="D12" s="59" t="s">
        <v>122</v>
      </c>
      <c r="E12" s="59"/>
      <c r="F12" s="62" t="s">
        <v>100</v>
      </c>
      <c r="G12" s="63"/>
      <c r="H12" s="64" t="s">
        <v>113</v>
      </c>
      <c r="I12" s="6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8.4" x14ac:dyDescent="0.3">
      <c r="A13" s="58" t="str">
        <f t="shared" si="0"/>
        <v>[Accessory-5]</v>
      </c>
      <c r="B13" s="59" t="s">
        <v>123</v>
      </c>
      <c r="C13" s="59" t="s">
        <v>124</v>
      </c>
      <c r="D13" s="59" t="s">
        <v>125</v>
      </c>
      <c r="E13" s="59"/>
      <c r="F13" s="62" t="s">
        <v>100</v>
      </c>
      <c r="G13" s="63"/>
      <c r="H13" s="68" t="s">
        <v>113</v>
      </c>
      <c r="I13" s="6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34.6" x14ac:dyDescent="0.3">
      <c r="A14" s="58" t="str">
        <f t="shared" si="0"/>
        <v>[Accessory-6]</v>
      </c>
      <c r="B14" s="59" t="s">
        <v>126</v>
      </c>
      <c r="C14" s="59" t="s">
        <v>127</v>
      </c>
      <c r="D14" s="59" t="s">
        <v>128</v>
      </c>
      <c r="E14" s="59"/>
      <c r="F14" s="62" t="s">
        <v>100</v>
      </c>
      <c r="G14" s="63"/>
      <c r="H14" s="64" t="s">
        <v>113</v>
      </c>
      <c r="I14" s="66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34.6" x14ac:dyDescent="0.3">
      <c r="A15" s="58" t="str">
        <f t="shared" si="0"/>
        <v>[Accessory-7]</v>
      </c>
      <c r="B15" s="59" t="s">
        <v>129</v>
      </c>
      <c r="C15" s="59" t="s">
        <v>130</v>
      </c>
      <c r="D15" s="59" t="s">
        <v>131</v>
      </c>
      <c r="E15" s="59"/>
      <c r="F15" s="62" t="s">
        <v>100</v>
      </c>
      <c r="G15" s="63"/>
      <c r="H15" s="64" t="s">
        <v>113</v>
      </c>
      <c r="I15" s="6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34.6" x14ac:dyDescent="0.3">
      <c r="A16" s="58" t="str">
        <f t="shared" si="0"/>
        <v>[Accessory-8]</v>
      </c>
      <c r="B16" s="59" t="s">
        <v>132</v>
      </c>
      <c r="C16" s="59" t="s">
        <v>133</v>
      </c>
      <c r="D16" s="59" t="s">
        <v>134</v>
      </c>
      <c r="E16" s="59"/>
      <c r="F16" s="62" t="s">
        <v>100</v>
      </c>
      <c r="G16" s="63"/>
      <c r="H16" s="64" t="s">
        <v>113</v>
      </c>
      <c r="I16" s="6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34.6" x14ac:dyDescent="0.3">
      <c r="A17" s="58" t="str">
        <f t="shared" si="0"/>
        <v>[Accessory-9]</v>
      </c>
      <c r="B17" s="59" t="s">
        <v>135</v>
      </c>
      <c r="C17" s="59" t="s">
        <v>136</v>
      </c>
      <c r="D17" s="59" t="s">
        <v>137</v>
      </c>
      <c r="E17" s="70"/>
      <c r="F17" s="62" t="s">
        <v>100</v>
      </c>
      <c r="G17" s="63"/>
      <c r="H17" s="64" t="s">
        <v>113</v>
      </c>
      <c r="I17" s="6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34.6" x14ac:dyDescent="0.3">
      <c r="A18" s="58" t="str">
        <f t="shared" si="0"/>
        <v>[Accessory-10]</v>
      </c>
      <c r="B18" s="59" t="s">
        <v>138</v>
      </c>
      <c r="C18" s="59" t="s">
        <v>139</v>
      </c>
      <c r="D18" s="59" t="s">
        <v>140</v>
      </c>
      <c r="E18" s="70"/>
      <c r="F18" s="62" t="s">
        <v>100</v>
      </c>
      <c r="G18" s="63"/>
      <c r="H18" s="64" t="s">
        <v>113</v>
      </c>
      <c r="I18" s="6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34.6" x14ac:dyDescent="0.3">
      <c r="A19" s="58" t="str">
        <f t="shared" si="0"/>
        <v>[Accessory-11]</v>
      </c>
      <c r="B19" s="59" t="s">
        <v>141</v>
      </c>
      <c r="C19" s="59" t="s">
        <v>142</v>
      </c>
      <c r="D19" s="59" t="s">
        <v>143</v>
      </c>
      <c r="E19" s="70"/>
      <c r="F19" s="62" t="s">
        <v>100</v>
      </c>
      <c r="G19" s="63"/>
      <c r="H19" s="64" t="s">
        <v>113</v>
      </c>
      <c r="I19" s="6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34.6" x14ac:dyDescent="0.3">
      <c r="A20" s="58" t="str">
        <f t="shared" si="0"/>
        <v>[Accessory-12]</v>
      </c>
      <c r="B20" s="59" t="s">
        <v>144</v>
      </c>
      <c r="C20" s="59" t="s">
        <v>145</v>
      </c>
      <c r="D20" s="59" t="s">
        <v>146</v>
      </c>
      <c r="E20" s="70"/>
      <c r="F20" s="62" t="s">
        <v>100</v>
      </c>
      <c r="G20" s="63"/>
      <c r="H20" s="64" t="s">
        <v>113</v>
      </c>
      <c r="I20" s="6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34.6" x14ac:dyDescent="0.3">
      <c r="A21" s="58" t="str">
        <f t="shared" si="0"/>
        <v>[Accessory-13]</v>
      </c>
      <c r="B21" s="59" t="s">
        <v>147</v>
      </c>
      <c r="C21" s="59" t="s">
        <v>148</v>
      </c>
      <c r="D21" s="59" t="s">
        <v>149</v>
      </c>
      <c r="E21" s="70"/>
      <c r="F21" s="62" t="s">
        <v>100</v>
      </c>
      <c r="G21" s="63"/>
      <c r="H21" s="64" t="s">
        <v>113</v>
      </c>
      <c r="I21" s="6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8.4" x14ac:dyDescent="0.3">
      <c r="A22" s="58" t="str">
        <f t="shared" si="0"/>
        <v>[Accessory-14]</v>
      </c>
      <c r="B22" s="59" t="s">
        <v>150</v>
      </c>
      <c r="C22" s="59" t="s">
        <v>151</v>
      </c>
      <c r="D22" s="59" t="s">
        <v>152</v>
      </c>
      <c r="E22" s="70"/>
      <c r="F22" s="62" t="s">
        <v>100</v>
      </c>
      <c r="G22" s="63"/>
      <c r="H22" s="64" t="s">
        <v>113</v>
      </c>
      <c r="I22" s="6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8.4" x14ac:dyDescent="0.3">
      <c r="A23" s="58" t="str">
        <f t="shared" si="0"/>
        <v>[Accessory-15]</v>
      </c>
      <c r="B23" s="59" t="s">
        <v>153</v>
      </c>
      <c r="C23" s="59" t="s">
        <v>154</v>
      </c>
      <c r="D23" s="59" t="s">
        <v>155</v>
      </c>
      <c r="E23" s="70"/>
      <c r="F23" s="62" t="s">
        <v>100</v>
      </c>
      <c r="G23" s="63"/>
      <c r="H23" s="64" t="s">
        <v>113</v>
      </c>
      <c r="I23" s="6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8.4" x14ac:dyDescent="0.3">
      <c r="A24" s="58" t="str">
        <f t="shared" si="0"/>
        <v>[Accessory-16]</v>
      </c>
      <c r="B24" s="59" t="s">
        <v>156</v>
      </c>
      <c r="C24" s="59" t="s">
        <v>157</v>
      </c>
      <c r="D24" s="59" t="s">
        <v>158</v>
      </c>
      <c r="E24" s="70"/>
      <c r="F24" s="62" t="s">
        <v>100</v>
      </c>
      <c r="G24" s="63"/>
      <c r="H24" s="64" t="s">
        <v>113</v>
      </c>
      <c r="I24" s="6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20.8" x14ac:dyDescent="0.3">
      <c r="A25" s="58" t="str">
        <f t="shared" si="0"/>
        <v>[Accessory-17]</v>
      </c>
      <c r="B25" s="59" t="s">
        <v>159</v>
      </c>
      <c r="C25" s="59" t="s">
        <v>160</v>
      </c>
      <c r="D25" s="59" t="s">
        <v>161</v>
      </c>
      <c r="E25" s="70"/>
      <c r="F25" s="62" t="s">
        <v>100</v>
      </c>
      <c r="G25" s="63"/>
      <c r="H25" s="64" t="s">
        <v>113</v>
      </c>
      <c r="I25" s="6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20.8" x14ac:dyDescent="0.3">
      <c r="A26" s="58" t="str">
        <f t="shared" si="0"/>
        <v>[Accessory-18]</v>
      </c>
      <c r="B26" s="59" t="s">
        <v>162</v>
      </c>
      <c r="C26" s="59" t="s">
        <v>163</v>
      </c>
      <c r="D26" s="59" t="s">
        <v>164</v>
      </c>
      <c r="E26" s="70"/>
      <c r="F26" s="62" t="s">
        <v>100</v>
      </c>
      <c r="G26" s="63"/>
      <c r="H26" s="64" t="s">
        <v>113</v>
      </c>
      <c r="I26" s="6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34.6" x14ac:dyDescent="0.3">
      <c r="A27" s="58" t="str">
        <f t="shared" si="0"/>
        <v>[Accessory-19]</v>
      </c>
      <c r="B27" s="59" t="s">
        <v>165</v>
      </c>
      <c r="C27" s="59" t="s">
        <v>166</v>
      </c>
      <c r="D27" s="59" t="s">
        <v>167</v>
      </c>
      <c r="E27" s="70"/>
      <c r="F27" s="62" t="s">
        <v>100</v>
      </c>
      <c r="G27" s="63"/>
      <c r="H27" s="64" t="s">
        <v>113</v>
      </c>
      <c r="I27" s="6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20.8" x14ac:dyDescent="0.3">
      <c r="A28" s="58" t="str">
        <f t="shared" si="0"/>
        <v>[Accessory-20]</v>
      </c>
      <c r="B28" s="59" t="s">
        <v>168</v>
      </c>
      <c r="C28" s="59" t="s">
        <v>169</v>
      </c>
      <c r="D28" s="59" t="s">
        <v>170</v>
      </c>
      <c r="E28" s="70"/>
      <c r="F28" s="62" t="s">
        <v>100</v>
      </c>
      <c r="G28" s="63"/>
      <c r="H28" s="64" t="s">
        <v>113</v>
      </c>
      <c r="I28" s="6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20.8" x14ac:dyDescent="0.3">
      <c r="A29" s="58" t="str">
        <f t="shared" si="0"/>
        <v>[Accessory-21]</v>
      </c>
      <c r="B29" s="59" t="s">
        <v>171</v>
      </c>
      <c r="C29" s="59" t="s">
        <v>172</v>
      </c>
      <c r="D29" s="59" t="s">
        <v>173</v>
      </c>
      <c r="E29" s="70"/>
      <c r="F29" s="62" t="s">
        <v>100</v>
      </c>
      <c r="G29" s="63"/>
      <c r="H29" s="64" t="s">
        <v>113</v>
      </c>
      <c r="I29" s="6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20.8" x14ac:dyDescent="0.3">
      <c r="A30" s="58" t="str">
        <f t="shared" si="0"/>
        <v>[Accessory-22]</v>
      </c>
      <c r="B30" s="59" t="s">
        <v>174</v>
      </c>
      <c r="C30" s="59" t="s">
        <v>175</v>
      </c>
      <c r="D30" s="59" t="s">
        <v>176</v>
      </c>
      <c r="E30" s="70"/>
      <c r="F30" s="62" t="s">
        <v>100</v>
      </c>
      <c r="G30" s="63"/>
      <c r="H30" s="64" t="s">
        <v>113</v>
      </c>
      <c r="I30" s="6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20.8" x14ac:dyDescent="0.3">
      <c r="A31" s="58" t="str">
        <f t="shared" si="0"/>
        <v>[Accessory-23]</v>
      </c>
      <c r="B31" s="59" t="s">
        <v>177</v>
      </c>
      <c r="C31" s="59" t="s">
        <v>178</v>
      </c>
      <c r="D31" s="59" t="s">
        <v>179</v>
      </c>
      <c r="E31" s="70"/>
      <c r="F31" s="62" t="s">
        <v>100</v>
      </c>
      <c r="G31" s="63"/>
      <c r="H31" s="64" t="s">
        <v>113</v>
      </c>
      <c r="I31" s="6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20.8" x14ac:dyDescent="0.3">
      <c r="A32" s="58" t="str">
        <f t="shared" si="0"/>
        <v>[Accessory-24]</v>
      </c>
      <c r="B32" s="59" t="s">
        <v>180</v>
      </c>
      <c r="C32" s="59" t="s">
        <v>181</v>
      </c>
      <c r="D32" s="59" t="s">
        <v>182</v>
      </c>
      <c r="E32" s="70"/>
      <c r="F32" s="62" t="s">
        <v>100</v>
      </c>
      <c r="G32" s="63"/>
      <c r="H32" s="64" t="s">
        <v>113</v>
      </c>
      <c r="I32" s="6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07" x14ac:dyDescent="0.3">
      <c r="A33" s="58" t="str">
        <f t="shared" si="0"/>
        <v>[Accessory-25]</v>
      </c>
      <c r="B33" s="59" t="s">
        <v>183</v>
      </c>
      <c r="C33" s="59" t="s">
        <v>184</v>
      </c>
      <c r="D33" s="59" t="s">
        <v>185</v>
      </c>
      <c r="E33" s="70"/>
      <c r="F33" s="62" t="s">
        <v>100</v>
      </c>
      <c r="G33" s="63"/>
      <c r="H33" s="64" t="s">
        <v>113</v>
      </c>
      <c r="I33" s="6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20.8" x14ac:dyDescent="0.3">
      <c r="A34" s="58" t="str">
        <f t="shared" si="0"/>
        <v>[Accessory-26]</v>
      </c>
      <c r="B34" s="59" t="s">
        <v>186</v>
      </c>
      <c r="C34" s="59" t="s">
        <v>187</v>
      </c>
      <c r="D34" s="59" t="s">
        <v>188</v>
      </c>
      <c r="E34" s="70"/>
      <c r="F34" s="62" t="s">
        <v>100</v>
      </c>
      <c r="G34" s="63"/>
      <c r="H34" s="64" t="s">
        <v>113</v>
      </c>
      <c r="I34" s="6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8.4" x14ac:dyDescent="0.3">
      <c r="A35" s="58" t="str">
        <f t="shared" si="0"/>
        <v>[Accessory-27]</v>
      </c>
      <c r="B35" s="59" t="s">
        <v>189</v>
      </c>
      <c r="C35" s="59" t="s">
        <v>190</v>
      </c>
      <c r="D35" s="59" t="s">
        <v>191</v>
      </c>
      <c r="E35" s="70"/>
      <c r="F35" s="62" t="s">
        <v>100</v>
      </c>
      <c r="G35" s="63"/>
      <c r="H35" s="64" t="s">
        <v>113</v>
      </c>
      <c r="I35" s="6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34.6" x14ac:dyDescent="0.3">
      <c r="A36" s="58" t="str">
        <f t="shared" si="0"/>
        <v>[Accessory-28]</v>
      </c>
      <c r="B36" s="59" t="s">
        <v>192</v>
      </c>
      <c r="C36" s="59" t="s">
        <v>193</v>
      </c>
      <c r="D36" s="59" t="s">
        <v>194</v>
      </c>
      <c r="E36" s="70"/>
      <c r="F36" s="62" t="s">
        <v>100</v>
      </c>
      <c r="G36" s="63"/>
      <c r="H36" s="64" t="s">
        <v>113</v>
      </c>
      <c r="I36" s="6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20.8" x14ac:dyDescent="0.3">
      <c r="A37" s="58" t="str">
        <f t="shared" si="0"/>
        <v>[Accessory-29]</v>
      </c>
      <c r="B37" s="59" t="s">
        <v>195</v>
      </c>
      <c r="C37" s="59" t="s">
        <v>196</v>
      </c>
      <c r="D37" s="59" t="s">
        <v>197</v>
      </c>
      <c r="E37" s="70"/>
      <c r="F37" s="62" t="s">
        <v>100</v>
      </c>
      <c r="G37" s="63"/>
      <c r="H37" s="64" t="s">
        <v>113</v>
      </c>
      <c r="I37" s="6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34.6" x14ac:dyDescent="0.3">
      <c r="A38" s="58" t="str">
        <f t="shared" si="0"/>
        <v>[Accessory-30]</v>
      </c>
      <c r="B38" s="59" t="s">
        <v>198</v>
      </c>
      <c r="C38" s="59" t="s">
        <v>199</v>
      </c>
      <c r="D38" s="59" t="s">
        <v>200</v>
      </c>
      <c r="E38" s="70"/>
      <c r="F38" s="62" t="s">
        <v>100</v>
      </c>
      <c r="G38" s="63"/>
      <c r="H38" s="64" t="s">
        <v>113</v>
      </c>
      <c r="I38" s="6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3">
      <c r="A39" s="58" t="str">
        <f t="shared" si="0"/>
        <v/>
      </c>
      <c r="B39" s="59"/>
      <c r="C39" s="59"/>
      <c r="D39" s="59"/>
      <c r="E39" s="70"/>
      <c r="F39" s="62"/>
      <c r="G39" s="63"/>
      <c r="H39" s="64"/>
      <c r="I39" s="6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3">
      <c r="A40" s="58" t="str">
        <f t="shared" si="0"/>
        <v/>
      </c>
      <c r="B40" s="59"/>
      <c r="C40" s="59"/>
      <c r="D40" s="59"/>
      <c r="E40" s="70"/>
      <c r="F40" s="62"/>
      <c r="G40" s="63"/>
      <c r="H40" s="64"/>
      <c r="I40" s="6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3">
      <c r="A41" s="58" t="str">
        <f t="shared" ref="A41:A72" si="1">IF(OR(B41&lt;&gt;"",D41&lt;&gt;""),"["&amp;$B$2&amp;"-"&amp;(ROW()-8)&amp;"]","")</f>
        <v/>
      </c>
      <c r="B41" s="59"/>
      <c r="C41" s="59"/>
      <c r="D41" s="59"/>
      <c r="E41" s="70"/>
      <c r="F41" s="62"/>
      <c r="G41" s="63"/>
      <c r="H41" s="64"/>
      <c r="I41" s="6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3">
      <c r="A42" s="58" t="str">
        <f t="shared" si="1"/>
        <v/>
      </c>
      <c r="B42" s="59"/>
      <c r="C42" s="59"/>
      <c r="D42" s="59"/>
      <c r="E42" s="70"/>
      <c r="F42" s="62"/>
      <c r="G42" s="63"/>
      <c r="H42" s="64"/>
      <c r="I42" s="6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3">
      <c r="A43" s="58" t="str">
        <f t="shared" si="1"/>
        <v/>
      </c>
      <c r="B43" s="59"/>
      <c r="C43" s="59"/>
      <c r="D43" s="59"/>
      <c r="E43" s="70"/>
      <c r="F43" s="62"/>
      <c r="G43" s="63"/>
      <c r="H43" s="64"/>
      <c r="I43" s="6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3">
      <c r="A44" s="58" t="str">
        <f t="shared" si="1"/>
        <v/>
      </c>
      <c r="B44" s="59"/>
      <c r="C44" s="59"/>
      <c r="D44" s="59"/>
      <c r="E44" s="70"/>
      <c r="F44" s="62"/>
      <c r="G44" s="63"/>
      <c r="H44" s="64"/>
      <c r="I44" s="69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3">
      <c r="A45" s="58" t="str">
        <f t="shared" si="1"/>
        <v/>
      </c>
      <c r="B45" s="59"/>
      <c r="C45" s="59"/>
      <c r="D45" s="59"/>
      <c r="E45" s="70"/>
      <c r="F45" s="62"/>
      <c r="G45" s="63"/>
      <c r="H45" s="64"/>
      <c r="I45" s="6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3">
      <c r="A46" s="58" t="str">
        <f t="shared" si="1"/>
        <v/>
      </c>
      <c r="B46" s="59"/>
      <c r="C46" s="59"/>
      <c r="D46" s="59"/>
      <c r="E46" s="70"/>
      <c r="F46" s="62"/>
      <c r="G46" s="63"/>
      <c r="H46" s="64"/>
      <c r="I46" s="6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3">
      <c r="A47" s="58" t="str">
        <f t="shared" si="1"/>
        <v/>
      </c>
      <c r="B47" s="59"/>
      <c r="C47" s="59"/>
      <c r="D47" s="59"/>
      <c r="E47" s="70"/>
      <c r="F47" s="62"/>
      <c r="G47" s="63"/>
      <c r="H47" s="64"/>
      <c r="I47" s="6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3">
      <c r="A48" s="58" t="str">
        <f t="shared" si="1"/>
        <v/>
      </c>
      <c r="B48" s="59"/>
      <c r="C48" s="59"/>
      <c r="D48" s="59"/>
      <c r="E48" s="70"/>
      <c r="F48" s="62"/>
      <c r="G48" s="63"/>
      <c r="H48" s="64"/>
      <c r="I48" s="69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3">
      <c r="A49" s="58" t="str">
        <f t="shared" si="1"/>
        <v/>
      </c>
      <c r="B49" s="59"/>
      <c r="C49" s="59"/>
      <c r="D49" s="59"/>
      <c r="E49" s="70"/>
      <c r="F49" s="62"/>
      <c r="G49" s="63"/>
      <c r="H49" s="64"/>
      <c r="I49" s="69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3">
      <c r="A50" s="58" t="str">
        <f t="shared" si="1"/>
        <v/>
      </c>
      <c r="B50" s="59"/>
      <c r="C50" s="59"/>
      <c r="D50" s="59"/>
      <c r="E50" s="70"/>
      <c r="F50" s="62"/>
      <c r="G50" s="63"/>
      <c r="H50" s="64"/>
      <c r="I50" s="69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3">
      <c r="A51" s="58" t="str">
        <f t="shared" si="1"/>
        <v/>
      </c>
      <c r="B51" s="59"/>
      <c r="C51" s="59"/>
      <c r="D51" s="59"/>
      <c r="E51" s="70"/>
      <c r="F51" s="62"/>
      <c r="G51" s="63"/>
      <c r="H51" s="64"/>
      <c r="I51" s="69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3">
      <c r="A52" s="58" t="str">
        <f t="shared" si="1"/>
        <v/>
      </c>
      <c r="B52" s="59"/>
      <c r="C52" s="59"/>
      <c r="D52" s="59"/>
      <c r="E52" s="70"/>
      <c r="F52" s="62"/>
      <c r="G52" s="63"/>
      <c r="H52" s="64"/>
      <c r="I52" s="69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3">
      <c r="A53" s="58" t="str">
        <f t="shared" si="1"/>
        <v/>
      </c>
      <c r="B53" s="59"/>
      <c r="C53" s="59"/>
      <c r="D53" s="59"/>
      <c r="E53" s="70"/>
      <c r="F53" s="62"/>
      <c r="G53" s="63"/>
      <c r="H53" s="64"/>
      <c r="I53" s="6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3">
      <c r="A54" s="58" t="str">
        <f t="shared" si="1"/>
        <v/>
      </c>
      <c r="B54" s="59"/>
      <c r="C54" s="59"/>
      <c r="D54" s="59"/>
      <c r="E54" s="70"/>
      <c r="F54" s="62"/>
      <c r="G54" s="63"/>
      <c r="H54" s="64"/>
      <c r="I54" s="69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3">
      <c r="A55" s="58" t="str">
        <f t="shared" si="1"/>
        <v/>
      </c>
      <c r="B55" s="59"/>
      <c r="C55" s="59"/>
      <c r="D55" s="59"/>
      <c r="E55" s="70"/>
      <c r="F55" s="62"/>
      <c r="G55" s="63"/>
      <c r="H55" s="64"/>
      <c r="I55" s="69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3">
      <c r="A56" s="58" t="str">
        <f t="shared" si="1"/>
        <v/>
      </c>
      <c r="B56" s="59"/>
      <c r="C56" s="59"/>
      <c r="D56" s="59"/>
      <c r="E56" s="70"/>
      <c r="F56" s="62"/>
      <c r="G56" s="63"/>
      <c r="H56" s="64"/>
      <c r="I56" s="69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3">
      <c r="A57" s="58" t="str">
        <f t="shared" si="1"/>
        <v/>
      </c>
      <c r="B57" s="59"/>
      <c r="C57" s="59"/>
      <c r="D57" s="59"/>
      <c r="E57" s="70"/>
      <c r="F57" s="62"/>
      <c r="G57" s="63"/>
      <c r="H57" s="64"/>
      <c r="I57" s="69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3">
      <c r="A58" s="58" t="str">
        <f t="shared" si="1"/>
        <v/>
      </c>
      <c r="B58" s="59"/>
      <c r="C58" s="59"/>
      <c r="D58" s="59"/>
      <c r="E58" s="70"/>
      <c r="F58" s="62"/>
      <c r="G58" s="63"/>
      <c r="H58" s="64"/>
      <c r="I58" s="6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3">
      <c r="A59" s="58" t="str">
        <f t="shared" si="1"/>
        <v/>
      </c>
      <c r="B59" s="59"/>
      <c r="C59" s="59"/>
      <c r="D59" s="59"/>
      <c r="E59" s="70"/>
      <c r="F59" s="62"/>
      <c r="G59" s="63"/>
      <c r="H59" s="64"/>
      <c r="I59" s="69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3">
      <c r="A60" s="58" t="str">
        <f t="shared" si="1"/>
        <v/>
      </c>
      <c r="B60" s="59"/>
      <c r="C60" s="59"/>
      <c r="D60" s="59"/>
      <c r="E60" s="70"/>
      <c r="F60" s="62"/>
      <c r="G60" s="63"/>
      <c r="H60" s="64"/>
      <c r="I60" s="6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3">
      <c r="A61" s="58" t="str">
        <f t="shared" si="1"/>
        <v/>
      </c>
      <c r="B61" s="59"/>
      <c r="C61" s="59"/>
      <c r="D61" s="59"/>
      <c r="E61" s="70"/>
      <c r="F61" s="62"/>
      <c r="G61" s="63"/>
      <c r="H61" s="64"/>
      <c r="I61" s="69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3">
      <c r="A62" s="58" t="str">
        <f t="shared" si="1"/>
        <v/>
      </c>
      <c r="B62" s="59"/>
      <c r="C62" s="59"/>
      <c r="D62" s="59"/>
      <c r="E62" s="70"/>
      <c r="F62" s="62"/>
      <c r="G62" s="63"/>
      <c r="H62" s="64"/>
      <c r="I62" s="69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3">
      <c r="A63" s="58" t="str">
        <f t="shared" si="1"/>
        <v/>
      </c>
      <c r="B63" s="59"/>
      <c r="C63" s="59"/>
      <c r="D63" s="59"/>
      <c r="E63" s="70"/>
      <c r="F63" s="62"/>
      <c r="G63" s="63"/>
      <c r="H63" s="64"/>
      <c r="I63" s="69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3">
      <c r="A64" s="58" t="str">
        <f t="shared" si="1"/>
        <v/>
      </c>
      <c r="B64" s="59"/>
      <c r="C64" s="59"/>
      <c r="D64" s="59"/>
      <c r="E64" s="70"/>
      <c r="F64" s="62"/>
      <c r="G64" s="63"/>
      <c r="H64" s="64"/>
      <c r="I64" s="69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3">
      <c r="A65" s="58" t="str">
        <f t="shared" si="1"/>
        <v/>
      </c>
      <c r="B65" s="59"/>
      <c r="C65" s="59"/>
      <c r="D65" s="59"/>
      <c r="E65" s="70"/>
      <c r="F65" s="62"/>
      <c r="G65" s="63"/>
      <c r="H65" s="64"/>
      <c r="I65" s="6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3">
      <c r="A66" s="58" t="str">
        <f t="shared" si="1"/>
        <v/>
      </c>
      <c r="B66" s="59"/>
      <c r="C66" s="59"/>
      <c r="D66" s="59"/>
      <c r="E66" s="70"/>
      <c r="F66" s="62"/>
      <c r="G66" s="63"/>
      <c r="H66" s="64"/>
      <c r="I66" s="69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3">
      <c r="A67" s="58" t="str">
        <f t="shared" si="1"/>
        <v/>
      </c>
      <c r="B67" s="59"/>
      <c r="C67" s="59"/>
      <c r="D67" s="59"/>
      <c r="E67" s="70"/>
      <c r="F67" s="62"/>
      <c r="G67" s="63"/>
      <c r="H67" s="64"/>
      <c r="I67" s="6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3">
      <c r="A68" s="58" t="str">
        <f t="shared" si="1"/>
        <v/>
      </c>
      <c r="B68" s="59"/>
      <c r="C68" s="59"/>
      <c r="D68" s="59"/>
      <c r="E68" s="70"/>
      <c r="F68" s="62"/>
      <c r="G68" s="63"/>
      <c r="H68" s="64"/>
      <c r="I68" s="69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3">
      <c r="A69" s="58" t="str">
        <f t="shared" si="1"/>
        <v/>
      </c>
      <c r="B69" s="59"/>
      <c r="C69" s="59"/>
      <c r="D69" s="59"/>
      <c r="E69" s="70"/>
      <c r="F69" s="62"/>
      <c r="G69" s="63"/>
      <c r="H69" s="64"/>
      <c r="I69" s="6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3">
      <c r="A70" s="58" t="str">
        <f t="shared" si="1"/>
        <v/>
      </c>
      <c r="B70" s="59"/>
      <c r="C70" s="59"/>
      <c r="D70" s="59"/>
      <c r="E70" s="70"/>
      <c r="F70" s="62"/>
      <c r="G70" s="63"/>
      <c r="H70" s="64"/>
      <c r="I70" s="6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3">
      <c r="A71" s="58" t="str">
        <f t="shared" si="1"/>
        <v/>
      </c>
      <c r="B71" s="59"/>
      <c r="C71" s="59"/>
      <c r="D71" s="59"/>
      <c r="E71" s="70"/>
      <c r="F71" s="62"/>
      <c r="G71" s="63"/>
      <c r="H71" s="64"/>
      <c r="I71" s="69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3">
      <c r="A72" s="58" t="str">
        <f t="shared" si="1"/>
        <v/>
      </c>
      <c r="B72" s="59"/>
      <c r="C72" s="59"/>
      <c r="D72" s="59"/>
      <c r="E72" s="70"/>
      <c r="F72" s="62"/>
      <c r="G72" s="63"/>
      <c r="H72" s="64"/>
      <c r="I72" s="69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3">
      <c r="A73" s="58" t="str">
        <f t="shared" ref="A73:A104" si="2">IF(OR(B73&lt;&gt;"",D73&lt;&gt;""),"["&amp;$B$2&amp;"-"&amp;(ROW()-8)&amp;"]","")</f>
        <v/>
      </c>
      <c r="B73" s="59"/>
      <c r="C73" s="59"/>
      <c r="D73" s="59"/>
      <c r="E73" s="70"/>
      <c r="F73" s="62"/>
      <c r="G73" s="63"/>
      <c r="H73" s="64"/>
      <c r="I73" s="69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3">
      <c r="A74" s="58" t="str">
        <f t="shared" si="2"/>
        <v/>
      </c>
      <c r="B74" s="59"/>
      <c r="C74" s="59"/>
      <c r="D74" s="59"/>
      <c r="E74" s="70"/>
      <c r="F74" s="62"/>
      <c r="G74" s="63"/>
      <c r="H74" s="64"/>
      <c r="I74" s="69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3">
      <c r="A75" s="58" t="str">
        <f t="shared" si="2"/>
        <v/>
      </c>
      <c r="B75" s="59"/>
      <c r="C75" s="59"/>
      <c r="D75" s="59"/>
      <c r="E75" s="70"/>
      <c r="F75" s="62"/>
      <c r="G75" s="63"/>
      <c r="H75" s="64"/>
      <c r="I75" s="69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3">
      <c r="A76" s="58" t="str">
        <f t="shared" si="2"/>
        <v/>
      </c>
      <c r="B76" s="59"/>
      <c r="C76" s="59"/>
      <c r="D76" s="59"/>
      <c r="E76" s="70"/>
      <c r="F76" s="62"/>
      <c r="G76" s="63"/>
      <c r="H76" s="64"/>
      <c r="I76" s="69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3">
      <c r="A77" s="58" t="str">
        <f t="shared" si="2"/>
        <v/>
      </c>
      <c r="B77" s="59"/>
      <c r="C77" s="59"/>
      <c r="D77" s="59"/>
      <c r="E77" s="70"/>
      <c r="F77" s="62"/>
      <c r="G77" s="63"/>
      <c r="H77" s="64"/>
      <c r="I77" s="69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3">
      <c r="A78" s="58" t="str">
        <f t="shared" si="2"/>
        <v/>
      </c>
      <c r="B78" s="59"/>
      <c r="C78" s="59"/>
      <c r="D78" s="59"/>
      <c r="E78" s="70"/>
      <c r="F78" s="62"/>
      <c r="G78" s="63"/>
      <c r="H78" s="64"/>
      <c r="I78" s="69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3">
      <c r="A79" s="58" t="str">
        <f t="shared" si="2"/>
        <v/>
      </c>
      <c r="B79" s="59"/>
      <c r="C79" s="59"/>
      <c r="D79" s="59"/>
      <c r="E79" s="70"/>
      <c r="F79" s="62"/>
      <c r="G79" s="63"/>
      <c r="H79" s="64"/>
      <c r="I79" s="69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3">
      <c r="A80" s="58" t="str">
        <f t="shared" si="2"/>
        <v/>
      </c>
      <c r="B80" s="59"/>
      <c r="C80" s="59"/>
      <c r="D80" s="59"/>
      <c r="E80" s="70"/>
      <c r="F80" s="62"/>
      <c r="G80" s="63"/>
      <c r="H80" s="64"/>
      <c r="I80" s="69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3">
      <c r="A81" s="58" t="str">
        <f t="shared" si="2"/>
        <v/>
      </c>
      <c r="B81" s="59"/>
      <c r="C81" s="59"/>
      <c r="D81" s="59"/>
      <c r="E81" s="70"/>
      <c r="F81" s="62"/>
      <c r="G81" s="63"/>
      <c r="H81" s="64"/>
      <c r="I81" s="69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3">
      <c r="A82" s="58" t="str">
        <f t="shared" si="2"/>
        <v/>
      </c>
      <c r="B82" s="59"/>
      <c r="C82" s="59"/>
      <c r="D82" s="59"/>
      <c r="E82" s="70"/>
      <c r="F82" s="62"/>
      <c r="G82" s="63"/>
      <c r="H82" s="64"/>
      <c r="I82" s="69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3">
      <c r="A83" s="58" t="str">
        <f t="shared" si="2"/>
        <v/>
      </c>
      <c r="B83" s="59"/>
      <c r="C83" s="59"/>
      <c r="D83" s="59"/>
      <c r="E83" s="70"/>
      <c r="F83" s="62"/>
      <c r="G83" s="63"/>
      <c r="H83" s="64"/>
      <c r="I83" s="69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3">
      <c r="A84" s="58" t="str">
        <f t="shared" si="2"/>
        <v/>
      </c>
      <c r="B84" s="59"/>
      <c r="C84" s="59"/>
      <c r="D84" s="59"/>
      <c r="E84" s="70"/>
      <c r="F84" s="62"/>
      <c r="G84" s="63"/>
      <c r="H84" s="64"/>
      <c r="I84" s="69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3">
      <c r="A85" s="58" t="str">
        <f t="shared" si="2"/>
        <v/>
      </c>
      <c r="B85" s="59"/>
      <c r="C85" s="59"/>
      <c r="D85" s="59"/>
      <c r="E85" s="70"/>
      <c r="F85" s="62"/>
      <c r="G85" s="63"/>
      <c r="H85" s="64"/>
      <c r="I85" s="69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3">
      <c r="A86" s="58" t="str">
        <f t="shared" si="2"/>
        <v/>
      </c>
      <c r="B86" s="59"/>
      <c r="C86" s="59"/>
      <c r="D86" s="59"/>
      <c r="E86" s="70"/>
      <c r="F86" s="62"/>
      <c r="G86" s="63"/>
      <c r="H86" s="64"/>
      <c r="I86" s="69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3">
      <c r="A87" s="58" t="str">
        <f t="shared" si="2"/>
        <v/>
      </c>
      <c r="B87" s="59"/>
      <c r="C87" s="59"/>
      <c r="D87" s="59"/>
      <c r="E87" s="70"/>
      <c r="F87" s="62"/>
      <c r="G87" s="63"/>
      <c r="H87" s="64"/>
      <c r="I87" s="69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3">
      <c r="A88" s="58" t="str">
        <f t="shared" si="2"/>
        <v/>
      </c>
      <c r="B88" s="59"/>
      <c r="C88" s="59"/>
      <c r="D88" s="59"/>
      <c r="E88" s="70"/>
      <c r="F88" s="62"/>
      <c r="G88" s="63"/>
      <c r="H88" s="64"/>
      <c r="I88" s="69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3">
      <c r="A89" s="58" t="str">
        <f t="shared" si="2"/>
        <v/>
      </c>
      <c r="B89" s="59"/>
      <c r="C89" s="59"/>
      <c r="D89" s="59"/>
      <c r="E89" s="70"/>
      <c r="F89" s="62"/>
      <c r="G89" s="63"/>
      <c r="H89" s="64"/>
      <c r="I89" s="69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3">
      <c r="A90" s="58" t="str">
        <f t="shared" si="2"/>
        <v/>
      </c>
      <c r="B90" s="59"/>
      <c r="C90" s="59"/>
      <c r="D90" s="59"/>
      <c r="E90" s="70"/>
      <c r="F90" s="62"/>
      <c r="G90" s="63"/>
      <c r="H90" s="64"/>
      <c r="I90" s="69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3">
      <c r="A91" s="58" t="str">
        <f t="shared" si="2"/>
        <v/>
      </c>
      <c r="B91" s="59"/>
      <c r="C91" s="59"/>
      <c r="D91" s="59"/>
      <c r="E91" s="70"/>
      <c r="F91" s="62"/>
      <c r="G91" s="63"/>
      <c r="H91" s="64"/>
      <c r="I91" s="69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3">
      <c r="A92" s="58" t="str">
        <f t="shared" si="2"/>
        <v/>
      </c>
      <c r="B92" s="59"/>
      <c r="C92" s="59"/>
      <c r="D92" s="59"/>
      <c r="E92" s="70"/>
      <c r="F92" s="62"/>
      <c r="G92" s="63"/>
      <c r="H92" s="64"/>
      <c r="I92" s="69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3">
      <c r="A93" s="58" t="str">
        <f t="shared" si="2"/>
        <v/>
      </c>
      <c r="B93" s="59"/>
      <c r="C93" s="59"/>
      <c r="D93" s="59"/>
      <c r="E93" s="70"/>
      <c r="F93" s="62"/>
      <c r="G93" s="63"/>
      <c r="H93" s="64"/>
      <c r="I93" s="69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3">
      <c r="A94" s="58" t="str">
        <f t="shared" si="2"/>
        <v/>
      </c>
      <c r="B94" s="59"/>
      <c r="C94" s="59"/>
      <c r="D94" s="59"/>
      <c r="E94" s="70"/>
      <c r="F94" s="62"/>
      <c r="G94" s="63"/>
      <c r="H94" s="64"/>
      <c r="I94" s="69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3">
      <c r="A95" s="58" t="str">
        <f t="shared" si="2"/>
        <v/>
      </c>
      <c r="B95" s="59"/>
      <c r="C95" s="59"/>
      <c r="D95" s="59"/>
      <c r="E95" s="70"/>
      <c r="F95" s="62"/>
      <c r="G95" s="63"/>
      <c r="H95" s="64"/>
      <c r="I95" s="6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3">
      <c r="A96" s="58" t="str">
        <f t="shared" si="2"/>
        <v/>
      </c>
      <c r="B96" s="59"/>
      <c r="C96" s="59"/>
      <c r="D96" s="59"/>
      <c r="E96" s="70"/>
      <c r="F96" s="62"/>
      <c r="G96" s="63"/>
      <c r="H96" s="64"/>
      <c r="I96" s="69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3">
      <c r="A97" s="58" t="str">
        <f t="shared" si="2"/>
        <v/>
      </c>
      <c r="B97" s="59"/>
      <c r="C97" s="59"/>
      <c r="D97" s="59"/>
      <c r="E97" s="70"/>
      <c r="F97" s="62"/>
      <c r="G97" s="63"/>
      <c r="H97" s="64"/>
      <c r="I97" s="6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3">
      <c r="A98" s="58" t="str">
        <f t="shared" si="2"/>
        <v/>
      </c>
      <c r="B98" s="59"/>
      <c r="C98" s="59"/>
      <c r="D98" s="59"/>
      <c r="E98" s="70"/>
      <c r="F98" s="62"/>
      <c r="G98" s="63"/>
      <c r="H98" s="64"/>
      <c r="I98" s="69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3">
      <c r="A99" s="58" t="str">
        <f t="shared" si="2"/>
        <v/>
      </c>
      <c r="B99" s="59"/>
      <c r="C99" s="59"/>
      <c r="D99" s="59"/>
      <c r="E99" s="70"/>
      <c r="F99" s="62"/>
      <c r="G99" s="63"/>
      <c r="H99" s="64"/>
      <c r="I99" s="69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3">
      <c r="A100" s="58" t="str">
        <f t="shared" si="2"/>
        <v/>
      </c>
      <c r="B100" s="59"/>
      <c r="C100" s="59"/>
      <c r="D100" s="59"/>
      <c r="E100" s="70"/>
      <c r="F100" s="62"/>
      <c r="G100" s="63"/>
      <c r="H100" s="64"/>
      <c r="I100" s="69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3">
      <c r="A101" s="58" t="str">
        <f t="shared" ref="A101:A108" si="3">IF(OR(B101&lt;&gt;"",D101&lt;&gt;""),"["&amp;TEXT($B$2,"##")&amp;"-"&amp;TEXT(ROW()-8,"##")&amp;"]","")</f>
        <v/>
      </c>
      <c r="B101" s="59"/>
      <c r="C101" s="59"/>
      <c r="D101" s="59"/>
      <c r="E101" s="70"/>
      <c r="F101" s="62"/>
      <c r="G101" s="63"/>
      <c r="H101" s="64"/>
      <c r="I101" s="69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3">
      <c r="A102" s="58" t="str">
        <f t="shared" si="3"/>
        <v/>
      </c>
      <c r="B102" s="59"/>
      <c r="C102" s="59"/>
      <c r="D102" s="59"/>
      <c r="E102" s="70"/>
      <c r="F102" s="62"/>
      <c r="G102" s="63"/>
      <c r="H102" s="64"/>
      <c r="I102" s="69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3">
      <c r="A103" s="58" t="str">
        <f t="shared" si="3"/>
        <v/>
      </c>
      <c r="B103" s="59"/>
      <c r="C103" s="59"/>
      <c r="D103" s="59"/>
      <c r="E103" s="70"/>
      <c r="F103" s="62"/>
      <c r="G103" s="63"/>
      <c r="H103" s="64"/>
      <c r="I103" s="69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3">
      <c r="A104" s="58" t="str">
        <f t="shared" si="3"/>
        <v/>
      </c>
      <c r="B104" s="59"/>
      <c r="C104" s="59"/>
      <c r="D104" s="59"/>
      <c r="E104" s="70"/>
      <c r="F104" s="62"/>
      <c r="G104" s="63"/>
      <c r="H104" s="64"/>
      <c r="I104" s="69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3">
      <c r="A105" s="58" t="str">
        <f t="shared" si="3"/>
        <v/>
      </c>
      <c r="B105" s="59"/>
      <c r="C105" s="59"/>
      <c r="D105" s="59"/>
      <c r="E105" s="70"/>
      <c r="F105" s="62"/>
      <c r="G105" s="63"/>
      <c r="H105" s="64"/>
      <c r="I105" s="69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3">
      <c r="A106" s="58" t="str">
        <f t="shared" si="3"/>
        <v/>
      </c>
      <c r="B106" s="59"/>
      <c r="C106" s="59"/>
      <c r="D106" s="59"/>
      <c r="E106" s="70"/>
      <c r="F106" s="62"/>
      <c r="G106" s="63"/>
      <c r="H106" s="64"/>
      <c r="I106" s="69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3">
      <c r="A107" s="58" t="str">
        <f t="shared" si="3"/>
        <v/>
      </c>
      <c r="B107" s="59"/>
      <c r="C107" s="59"/>
      <c r="D107" s="59"/>
      <c r="E107" s="70"/>
      <c r="F107" s="62"/>
      <c r="G107" s="63"/>
      <c r="H107" s="64"/>
      <c r="I107" s="69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3">
      <c r="A108" s="58" t="str">
        <f t="shared" si="3"/>
        <v/>
      </c>
      <c r="B108" s="59"/>
      <c r="C108" s="59"/>
      <c r="D108" s="59"/>
      <c r="E108" s="70"/>
      <c r="F108" s="62"/>
      <c r="G108" s="63"/>
      <c r="H108" s="64"/>
      <c r="I108" s="69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69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69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69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69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69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69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69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69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69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69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69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69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69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69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69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69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69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69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69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69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69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69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69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69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69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69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69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69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69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69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69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69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69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69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69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69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69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69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69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69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69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69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69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69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69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69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69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69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69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69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69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69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69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69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69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69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69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69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69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69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69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69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69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69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69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69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69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69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69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69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69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69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69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69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69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69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69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69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69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69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69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69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69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69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69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69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69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69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69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69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69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69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69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69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69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69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69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69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69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69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69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69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69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69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69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69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69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69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69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69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69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69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69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69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69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69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69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69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69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69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69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69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69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69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69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69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69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69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69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69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69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69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69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69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69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69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69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69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69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69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69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69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69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69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69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69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69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69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69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69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69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69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69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69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69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69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69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69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69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69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69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69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69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69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69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69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69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69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69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69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69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69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69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69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69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69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69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69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69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69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69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69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69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69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69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69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69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69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69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69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69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69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69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69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69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69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69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69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69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69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4.25" customHeight="1" x14ac:dyDescent="0.3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4.25" customHeight="1" x14ac:dyDescent="0.3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4.25" customHeight="1" x14ac:dyDescent="0.3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4.25" customHeight="1" x14ac:dyDescent="0.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4.25" customHeight="1" x14ac:dyDescent="0.3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4.25" customHeight="1" x14ac:dyDescent="0.3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4.25" customHeight="1" x14ac:dyDescent="0.3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4.25" customHeight="1" x14ac:dyDescent="0.3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4.25" customHeight="1" x14ac:dyDescent="0.3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4.25" customHeight="1" x14ac:dyDescent="0.3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4.25" customHeight="1" x14ac:dyDescent="0.3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4.25" customHeight="1" x14ac:dyDescent="0.3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4.25" customHeight="1" x14ac:dyDescent="0.3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4.25" customHeight="1" x14ac:dyDescent="0.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4.25" customHeight="1" x14ac:dyDescent="0.3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4.25" customHeight="1" x14ac:dyDescent="0.3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4.25" customHeight="1" x14ac:dyDescent="0.3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4.25" customHeight="1" x14ac:dyDescent="0.3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4.25" customHeight="1" x14ac:dyDescent="0.3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4.25" customHeight="1" x14ac:dyDescent="0.3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4.25" customHeight="1" x14ac:dyDescent="0.3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4.25" customHeight="1" x14ac:dyDescent="0.3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4.25" customHeight="1" x14ac:dyDescent="0.3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4.25" customHeight="1" x14ac:dyDescent="0.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4.25" customHeight="1" x14ac:dyDescent="0.3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4.25" customHeight="1" x14ac:dyDescent="0.3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4.25" customHeight="1" x14ac:dyDescent="0.3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4.25" customHeight="1" x14ac:dyDescent="0.3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4.25" customHeight="1" x14ac:dyDescent="0.3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4.25" customHeight="1" x14ac:dyDescent="0.3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4.25" customHeight="1" x14ac:dyDescent="0.3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4.25" customHeight="1" x14ac:dyDescent="0.3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4.25" customHeight="1" x14ac:dyDescent="0.3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4.25" customHeight="1" x14ac:dyDescent="0.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4.25" customHeight="1" x14ac:dyDescent="0.3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4.25" customHeight="1" x14ac:dyDescent="0.3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4.25" customHeight="1" x14ac:dyDescent="0.3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4.25" customHeight="1" x14ac:dyDescent="0.3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4.25" customHeight="1" x14ac:dyDescent="0.3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4.25" customHeight="1" x14ac:dyDescent="0.3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4.25" customHeight="1" x14ac:dyDescent="0.3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4.25" customHeight="1" x14ac:dyDescent="0.3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4.25" customHeight="1" x14ac:dyDescent="0.3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4.25" customHeight="1" x14ac:dyDescent="0.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4.25" customHeight="1" x14ac:dyDescent="0.3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4.25" customHeight="1" x14ac:dyDescent="0.3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4.25" customHeight="1" x14ac:dyDescent="0.3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4.25" customHeight="1" x14ac:dyDescent="0.3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4.25" customHeight="1" x14ac:dyDescent="0.3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4.25" customHeight="1" x14ac:dyDescent="0.3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4.25" customHeight="1" x14ac:dyDescent="0.3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4.25" customHeight="1" x14ac:dyDescent="0.3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4.25" customHeight="1" x14ac:dyDescent="0.3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4.25" customHeight="1" x14ac:dyDescent="0.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4.25" customHeight="1" x14ac:dyDescent="0.3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4.25" customHeight="1" x14ac:dyDescent="0.3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4.25" customHeight="1" x14ac:dyDescent="0.3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4.25" customHeight="1" x14ac:dyDescent="0.3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4.25" customHeight="1" x14ac:dyDescent="0.3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4.25" customHeight="1" x14ac:dyDescent="0.3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4.25" customHeight="1" x14ac:dyDescent="0.3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4.25" customHeight="1" x14ac:dyDescent="0.3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4.25" customHeight="1" x14ac:dyDescent="0.3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4.25" customHeight="1" x14ac:dyDescent="0.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4.25" customHeight="1" x14ac:dyDescent="0.3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4.25" customHeight="1" x14ac:dyDescent="0.3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4.25" customHeight="1" x14ac:dyDescent="0.3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4.25" customHeight="1" x14ac:dyDescent="0.3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4.25" customHeight="1" x14ac:dyDescent="0.3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4.25" customHeight="1" x14ac:dyDescent="0.3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4.25" customHeight="1" x14ac:dyDescent="0.3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4.25" customHeight="1" x14ac:dyDescent="0.3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4.25" customHeight="1" x14ac:dyDescent="0.3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4.25" customHeight="1" x14ac:dyDescent="0.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4.25" customHeight="1" x14ac:dyDescent="0.3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4.25" customHeight="1" x14ac:dyDescent="0.3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4.25" customHeight="1" x14ac:dyDescent="0.3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4.25" customHeight="1" x14ac:dyDescent="0.3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4.25" customHeight="1" x14ac:dyDescent="0.3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4.25" customHeight="1" x14ac:dyDescent="0.3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4.25" customHeight="1" x14ac:dyDescent="0.3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4.25" customHeight="1" x14ac:dyDescent="0.3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4.25" customHeight="1" x14ac:dyDescent="0.3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4.25" customHeight="1" x14ac:dyDescent="0.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4.25" customHeight="1" x14ac:dyDescent="0.3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4.25" customHeight="1" x14ac:dyDescent="0.3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4.25" customHeight="1" x14ac:dyDescent="0.3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4.25" customHeight="1" x14ac:dyDescent="0.3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4.25" customHeight="1" x14ac:dyDescent="0.3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4.25" customHeight="1" x14ac:dyDescent="0.3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4.25" customHeight="1" x14ac:dyDescent="0.3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4.25" customHeight="1" x14ac:dyDescent="0.3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4.25" customHeight="1" x14ac:dyDescent="0.3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4.25" customHeight="1" x14ac:dyDescent="0.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4.25" customHeight="1" x14ac:dyDescent="0.3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4.25" customHeight="1" x14ac:dyDescent="0.3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4.25" customHeight="1" x14ac:dyDescent="0.3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4.25" customHeight="1" x14ac:dyDescent="0.3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4.25" customHeight="1" x14ac:dyDescent="0.3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4.25" customHeight="1" x14ac:dyDescent="0.3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4.25" customHeight="1" x14ac:dyDescent="0.3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4.25" customHeight="1" x14ac:dyDescent="0.3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4.25" customHeight="1" x14ac:dyDescent="0.3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4.25" customHeight="1" x14ac:dyDescent="0.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4.25" customHeight="1" x14ac:dyDescent="0.3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4.25" customHeight="1" x14ac:dyDescent="0.3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4.25" customHeight="1" x14ac:dyDescent="0.3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4.25" customHeight="1" x14ac:dyDescent="0.3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4.25" customHeight="1" x14ac:dyDescent="0.3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4.25" customHeight="1" x14ac:dyDescent="0.3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4.25" customHeight="1" x14ac:dyDescent="0.3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4.25" customHeight="1" x14ac:dyDescent="0.3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4.25" customHeight="1" x14ac:dyDescent="0.3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4.25" customHeight="1" x14ac:dyDescent="0.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4.25" customHeight="1" x14ac:dyDescent="0.3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4.25" customHeight="1" x14ac:dyDescent="0.3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4.25" customHeight="1" x14ac:dyDescent="0.3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4.25" customHeight="1" x14ac:dyDescent="0.3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4.25" customHeight="1" x14ac:dyDescent="0.3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4.25" customHeight="1" x14ac:dyDescent="0.3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4.25" customHeight="1" x14ac:dyDescent="0.3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4.25" customHeight="1" x14ac:dyDescent="0.3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4.25" customHeight="1" x14ac:dyDescent="0.3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4.25" customHeight="1" x14ac:dyDescent="0.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4.25" customHeight="1" x14ac:dyDescent="0.3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4.25" customHeight="1" x14ac:dyDescent="0.3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4.25" customHeight="1" x14ac:dyDescent="0.3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4.25" customHeight="1" x14ac:dyDescent="0.3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4.25" customHeight="1" x14ac:dyDescent="0.3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4.25" customHeight="1" x14ac:dyDescent="0.3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4.25" customHeight="1" x14ac:dyDescent="0.3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4.25" customHeight="1" x14ac:dyDescent="0.3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4.25" customHeight="1" x14ac:dyDescent="0.3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4.25" customHeight="1" x14ac:dyDescent="0.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4.25" customHeight="1" x14ac:dyDescent="0.3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4.25" customHeight="1" x14ac:dyDescent="0.3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4.25" customHeight="1" x14ac:dyDescent="0.3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4.25" customHeight="1" x14ac:dyDescent="0.3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4.25" customHeight="1" x14ac:dyDescent="0.3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4.25" customHeight="1" x14ac:dyDescent="0.3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4.25" customHeight="1" x14ac:dyDescent="0.3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4.25" customHeight="1" x14ac:dyDescent="0.3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4.25" customHeight="1" x14ac:dyDescent="0.3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4.25" customHeight="1" x14ac:dyDescent="0.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4.25" customHeight="1" x14ac:dyDescent="0.3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4.25" customHeight="1" x14ac:dyDescent="0.3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4.25" customHeight="1" x14ac:dyDescent="0.3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4.25" customHeight="1" x14ac:dyDescent="0.3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4.25" customHeight="1" x14ac:dyDescent="0.3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4.25" customHeight="1" x14ac:dyDescent="0.3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4.25" customHeight="1" x14ac:dyDescent="0.3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4.25" customHeight="1" x14ac:dyDescent="0.3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4.25" customHeight="1" x14ac:dyDescent="0.3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4.25" customHeight="1" x14ac:dyDescent="0.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4.25" customHeight="1" x14ac:dyDescent="0.3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4.25" customHeight="1" x14ac:dyDescent="0.3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4.25" customHeight="1" x14ac:dyDescent="0.3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4.25" customHeight="1" x14ac:dyDescent="0.3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4.25" customHeight="1" x14ac:dyDescent="0.3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4.25" customHeight="1" x14ac:dyDescent="0.3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4.25" customHeight="1" x14ac:dyDescent="0.3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4.25" customHeight="1" x14ac:dyDescent="0.3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4.25" customHeight="1" x14ac:dyDescent="0.3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4.25" customHeight="1" x14ac:dyDescent="0.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4.25" customHeight="1" x14ac:dyDescent="0.3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4.25" customHeight="1" x14ac:dyDescent="0.3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4.25" customHeight="1" x14ac:dyDescent="0.3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4.25" customHeight="1" x14ac:dyDescent="0.3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4.25" customHeight="1" x14ac:dyDescent="0.3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4.25" customHeight="1" x14ac:dyDescent="0.3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4.25" customHeight="1" x14ac:dyDescent="0.3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4.25" customHeight="1" x14ac:dyDescent="0.3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4.25" customHeight="1" x14ac:dyDescent="0.3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4.25" customHeight="1" x14ac:dyDescent="0.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4.25" customHeight="1" x14ac:dyDescent="0.3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4.25" customHeight="1" x14ac:dyDescent="0.3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4.25" customHeight="1" x14ac:dyDescent="0.3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4.25" customHeight="1" x14ac:dyDescent="0.3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4.25" customHeight="1" x14ac:dyDescent="0.3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4.25" customHeight="1" x14ac:dyDescent="0.3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4.25" customHeight="1" x14ac:dyDescent="0.3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4.25" customHeight="1" x14ac:dyDescent="0.3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4.25" customHeight="1" x14ac:dyDescent="0.3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4.25" customHeight="1" x14ac:dyDescent="0.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4.25" customHeight="1" x14ac:dyDescent="0.3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4.25" customHeight="1" x14ac:dyDescent="0.3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4.25" customHeight="1" x14ac:dyDescent="0.3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4.25" customHeight="1" x14ac:dyDescent="0.3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4.25" customHeight="1" x14ac:dyDescent="0.3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4.25" customHeight="1" x14ac:dyDescent="0.3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4.25" customHeight="1" x14ac:dyDescent="0.3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4.25" customHeight="1" x14ac:dyDescent="0.3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4.25" customHeight="1" x14ac:dyDescent="0.3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4.25" customHeight="1" x14ac:dyDescent="0.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4.25" customHeight="1" x14ac:dyDescent="0.3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4.25" customHeight="1" x14ac:dyDescent="0.3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4.25" customHeight="1" x14ac:dyDescent="0.3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4.25" customHeight="1" x14ac:dyDescent="0.3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4.25" customHeight="1" x14ac:dyDescent="0.3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4.25" customHeight="1" x14ac:dyDescent="0.3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4.25" customHeight="1" x14ac:dyDescent="0.3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4.25" customHeight="1" x14ac:dyDescent="0.3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4.25" customHeight="1" x14ac:dyDescent="0.3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4.25" customHeight="1" x14ac:dyDescent="0.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4.25" customHeight="1" x14ac:dyDescent="0.3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4.25" customHeight="1" x14ac:dyDescent="0.3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4.25" customHeight="1" x14ac:dyDescent="0.3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4.25" customHeight="1" x14ac:dyDescent="0.3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4.25" customHeight="1" x14ac:dyDescent="0.3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4.25" customHeight="1" x14ac:dyDescent="0.3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4.25" customHeight="1" x14ac:dyDescent="0.3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4.25" customHeight="1" x14ac:dyDescent="0.3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4.25" customHeight="1" x14ac:dyDescent="0.3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4.25" customHeight="1" x14ac:dyDescent="0.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4.25" customHeight="1" x14ac:dyDescent="0.3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4.25" customHeight="1" x14ac:dyDescent="0.3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4.25" customHeight="1" x14ac:dyDescent="0.3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4.25" customHeight="1" x14ac:dyDescent="0.3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4.25" customHeight="1" x14ac:dyDescent="0.3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4.25" customHeight="1" x14ac:dyDescent="0.3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4.25" customHeight="1" x14ac:dyDescent="0.3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4.25" customHeight="1" x14ac:dyDescent="0.3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4.25" customHeight="1" x14ac:dyDescent="0.3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4.25" customHeight="1" x14ac:dyDescent="0.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4.25" customHeight="1" x14ac:dyDescent="0.3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4.25" customHeight="1" x14ac:dyDescent="0.3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4.25" customHeight="1" x14ac:dyDescent="0.3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4.25" customHeight="1" x14ac:dyDescent="0.3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4.25" customHeight="1" x14ac:dyDescent="0.3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4.25" customHeight="1" x14ac:dyDescent="0.3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4.25" customHeight="1" x14ac:dyDescent="0.3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4.25" customHeight="1" x14ac:dyDescent="0.3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4.25" customHeight="1" x14ac:dyDescent="0.3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4.25" customHeight="1" x14ac:dyDescent="0.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4.25" customHeight="1" x14ac:dyDescent="0.3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4.25" customHeight="1" x14ac:dyDescent="0.3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4.25" customHeight="1" x14ac:dyDescent="0.3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4.25" customHeight="1" x14ac:dyDescent="0.3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4.25" customHeight="1" x14ac:dyDescent="0.3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4.25" customHeight="1" x14ac:dyDescent="0.3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4.25" customHeight="1" x14ac:dyDescent="0.3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4.25" customHeight="1" x14ac:dyDescent="0.3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4.25" customHeight="1" x14ac:dyDescent="0.3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4.25" customHeight="1" x14ac:dyDescent="0.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4.25" customHeight="1" x14ac:dyDescent="0.3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4.25" customHeight="1" x14ac:dyDescent="0.3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4.25" customHeight="1" x14ac:dyDescent="0.3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4.25" customHeight="1" x14ac:dyDescent="0.3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4.25" customHeight="1" x14ac:dyDescent="0.3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4.25" customHeight="1" x14ac:dyDescent="0.3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4.25" customHeight="1" x14ac:dyDescent="0.3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4.25" customHeight="1" x14ac:dyDescent="0.3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4.25" customHeight="1" x14ac:dyDescent="0.3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4.25" customHeight="1" x14ac:dyDescent="0.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4.25" customHeight="1" x14ac:dyDescent="0.3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4.25" customHeight="1" x14ac:dyDescent="0.3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4.25" customHeight="1" x14ac:dyDescent="0.3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4.25" customHeight="1" x14ac:dyDescent="0.3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4.25" customHeight="1" x14ac:dyDescent="0.3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4.25" customHeight="1" x14ac:dyDescent="0.3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4.25" customHeight="1" x14ac:dyDescent="0.3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4.25" customHeight="1" x14ac:dyDescent="0.3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4.25" customHeight="1" x14ac:dyDescent="0.3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4.25" customHeight="1" x14ac:dyDescent="0.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4.25" customHeight="1" x14ac:dyDescent="0.3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4.25" customHeight="1" x14ac:dyDescent="0.3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4.25" customHeight="1" x14ac:dyDescent="0.3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4.25" customHeight="1" x14ac:dyDescent="0.3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4.25" customHeight="1" x14ac:dyDescent="0.3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4.25" customHeight="1" x14ac:dyDescent="0.3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4.25" customHeight="1" x14ac:dyDescent="0.3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4.25" customHeight="1" x14ac:dyDescent="0.3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4.25" customHeight="1" x14ac:dyDescent="0.3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4.25" customHeight="1" x14ac:dyDescent="0.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4.25" customHeight="1" x14ac:dyDescent="0.3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4.25" customHeight="1" x14ac:dyDescent="0.3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4.25" customHeight="1" x14ac:dyDescent="0.3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4.25" customHeight="1" x14ac:dyDescent="0.3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4.25" customHeight="1" x14ac:dyDescent="0.3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4.25" customHeight="1" x14ac:dyDescent="0.3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4.25" customHeight="1" x14ac:dyDescent="0.3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4.25" customHeight="1" x14ac:dyDescent="0.3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4.25" customHeight="1" x14ac:dyDescent="0.3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4.25" customHeight="1" x14ac:dyDescent="0.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4.25" customHeight="1" x14ac:dyDescent="0.3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4.25" customHeight="1" x14ac:dyDescent="0.3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4.25" customHeight="1" x14ac:dyDescent="0.3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4.25" customHeight="1" x14ac:dyDescent="0.3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4.25" customHeight="1" x14ac:dyDescent="0.3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4.25" customHeight="1" x14ac:dyDescent="0.3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4.25" customHeight="1" x14ac:dyDescent="0.3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4.25" customHeight="1" x14ac:dyDescent="0.3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4.25" customHeight="1" x14ac:dyDescent="0.3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4.25" customHeight="1" x14ac:dyDescent="0.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4.25" customHeight="1" x14ac:dyDescent="0.3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4.25" customHeight="1" x14ac:dyDescent="0.3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4.25" customHeight="1" x14ac:dyDescent="0.3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4.25" customHeight="1" x14ac:dyDescent="0.3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4.25" customHeight="1" x14ac:dyDescent="0.3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4.25" customHeight="1" x14ac:dyDescent="0.3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4.25" customHeight="1" x14ac:dyDescent="0.3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4.25" customHeight="1" x14ac:dyDescent="0.3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4.25" customHeight="1" x14ac:dyDescent="0.3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4.25" customHeight="1" x14ac:dyDescent="0.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4.25" customHeight="1" x14ac:dyDescent="0.3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4.25" customHeight="1" x14ac:dyDescent="0.3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4.25" customHeight="1" x14ac:dyDescent="0.3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4.25" customHeight="1" x14ac:dyDescent="0.3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4.25" customHeight="1" x14ac:dyDescent="0.3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4.25" customHeight="1" x14ac:dyDescent="0.3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4.25" customHeight="1" x14ac:dyDescent="0.3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4.25" customHeight="1" x14ac:dyDescent="0.3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4.25" customHeight="1" x14ac:dyDescent="0.3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4.25" customHeight="1" x14ac:dyDescent="0.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4.25" customHeight="1" x14ac:dyDescent="0.3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4.25" customHeight="1" x14ac:dyDescent="0.3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4.25" customHeight="1" x14ac:dyDescent="0.3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4.25" customHeight="1" x14ac:dyDescent="0.3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4.25" customHeight="1" x14ac:dyDescent="0.3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4.25" customHeight="1" x14ac:dyDescent="0.3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4.25" customHeight="1" x14ac:dyDescent="0.3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4.25" customHeight="1" x14ac:dyDescent="0.3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4.25" customHeight="1" x14ac:dyDescent="0.3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4.25" customHeight="1" x14ac:dyDescent="0.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4.25" customHeight="1" x14ac:dyDescent="0.3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4.25" customHeight="1" x14ac:dyDescent="0.3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4.25" customHeight="1" x14ac:dyDescent="0.3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4.25" customHeight="1" x14ac:dyDescent="0.3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4.25" customHeight="1" x14ac:dyDescent="0.3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4.25" customHeight="1" x14ac:dyDescent="0.3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4.25" customHeight="1" x14ac:dyDescent="0.3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4.25" customHeight="1" x14ac:dyDescent="0.3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4.25" customHeight="1" x14ac:dyDescent="0.3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4.25" customHeight="1" x14ac:dyDescent="0.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4.25" customHeight="1" x14ac:dyDescent="0.3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4.25" customHeight="1" x14ac:dyDescent="0.3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4.25" customHeight="1" x14ac:dyDescent="0.3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4.25" customHeight="1" x14ac:dyDescent="0.3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4.25" customHeight="1" x14ac:dyDescent="0.3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4.25" customHeight="1" x14ac:dyDescent="0.3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4.25" customHeight="1" x14ac:dyDescent="0.3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4.25" customHeight="1" x14ac:dyDescent="0.3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4.25" customHeight="1" x14ac:dyDescent="0.3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4.25" customHeight="1" x14ac:dyDescent="0.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4.25" customHeight="1" x14ac:dyDescent="0.3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4.25" customHeight="1" x14ac:dyDescent="0.3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4.25" customHeight="1" x14ac:dyDescent="0.3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4.25" customHeight="1" x14ac:dyDescent="0.3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4.25" customHeight="1" x14ac:dyDescent="0.3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4.25" customHeight="1" x14ac:dyDescent="0.3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4.25" customHeight="1" x14ac:dyDescent="0.3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4.25" customHeight="1" x14ac:dyDescent="0.3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4.25" customHeight="1" x14ac:dyDescent="0.3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4.25" customHeight="1" x14ac:dyDescent="0.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4.25" customHeight="1" x14ac:dyDescent="0.3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4.25" customHeight="1" x14ac:dyDescent="0.3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4.25" customHeight="1" x14ac:dyDescent="0.3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4.25" customHeight="1" x14ac:dyDescent="0.3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4.25" customHeight="1" x14ac:dyDescent="0.3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4.25" customHeight="1" x14ac:dyDescent="0.3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4.25" customHeight="1" x14ac:dyDescent="0.3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4.25" customHeight="1" x14ac:dyDescent="0.3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4.25" customHeight="1" x14ac:dyDescent="0.3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4.25" customHeight="1" x14ac:dyDescent="0.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4.25" customHeight="1" x14ac:dyDescent="0.3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4.25" customHeight="1" x14ac:dyDescent="0.3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4.25" customHeight="1" x14ac:dyDescent="0.3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4.25" customHeight="1" x14ac:dyDescent="0.3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4.25" customHeight="1" x14ac:dyDescent="0.3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4.25" customHeight="1" x14ac:dyDescent="0.3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4.25" customHeight="1" x14ac:dyDescent="0.3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4.25" customHeight="1" x14ac:dyDescent="0.3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4.25" customHeight="1" x14ac:dyDescent="0.3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4.25" customHeight="1" x14ac:dyDescent="0.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4.25" customHeight="1" x14ac:dyDescent="0.3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4.25" customHeight="1" x14ac:dyDescent="0.3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4.25" customHeight="1" x14ac:dyDescent="0.3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4.25" customHeight="1" x14ac:dyDescent="0.3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4.25" customHeight="1" x14ac:dyDescent="0.3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4.25" customHeight="1" x14ac:dyDescent="0.3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4.25" customHeight="1" x14ac:dyDescent="0.3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4.25" customHeight="1" x14ac:dyDescent="0.3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4.25" customHeight="1" x14ac:dyDescent="0.3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4.25" customHeight="1" x14ac:dyDescent="0.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4.25" customHeight="1" x14ac:dyDescent="0.3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4.25" customHeight="1" x14ac:dyDescent="0.3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4.25" customHeight="1" x14ac:dyDescent="0.3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4.25" customHeight="1" x14ac:dyDescent="0.3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4.25" customHeight="1" x14ac:dyDescent="0.3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4.25" customHeight="1" x14ac:dyDescent="0.3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4.25" customHeight="1" x14ac:dyDescent="0.3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4.25" customHeight="1" x14ac:dyDescent="0.3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4.25" customHeight="1" x14ac:dyDescent="0.3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4.25" customHeight="1" x14ac:dyDescent="0.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4.25" customHeight="1" x14ac:dyDescent="0.3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4.25" customHeight="1" x14ac:dyDescent="0.3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4.25" customHeight="1" x14ac:dyDescent="0.3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4.25" customHeight="1" x14ac:dyDescent="0.3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4.25" customHeight="1" x14ac:dyDescent="0.3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4.25" customHeight="1" x14ac:dyDescent="0.3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4.25" customHeight="1" x14ac:dyDescent="0.3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4.25" customHeight="1" x14ac:dyDescent="0.3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4.25" customHeight="1" x14ac:dyDescent="0.3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4.25" customHeight="1" x14ac:dyDescent="0.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4.25" customHeight="1" x14ac:dyDescent="0.3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4.25" customHeight="1" x14ac:dyDescent="0.3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4.25" customHeight="1" x14ac:dyDescent="0.3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4.25" customHeight="1" x14ac:dyDescent="0.3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4.25" customHeight="1" x14ac:dyDescent="0.3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4.25" customHeight="1" x14ac:dyDescent="0.3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4.25" customHeight="1" x14ac:dyDescent="0.3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4.25" customHeight="1" x14ac:dyDescent="0.3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4.25" customHeight="1" x14ac:dyDescent="0.3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4.25" customHeight="1" x14ac:dyDescent="0.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4.25" customHeight="1" x14ac:dyDescent="0.3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4.25" customHeight="1" x14ac:dyDescent="0.3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4.25" customHeight="1" x14ac:dyDescent="0.3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4.25" customHeight="1" x14ac:dyDescent="0.3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4.25" customHeight="1" x14ac:dyDescent="0.3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4.25" customHeight="1" x14ac:dyDescent="0.3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4.25" customHeight="1" x14ac:dyDescent="0.3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4.25" customHeight="1" x14ac:dyDescent="0.3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4.25" customHeight="1" x14ac:dyDescent="0.3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4.25" customHeight="1" x14ac:dyDescent="0.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4.25" customHeight="1" x14ac:dyDescent="0.3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4.25" customHeight="1" x14ac:dyDescent="0.3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4.25" customHeight="1" x14ac:dyDescent="0.3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4.25" customHeight="1" x14ac:dyDescent="0.3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4.25" customHeight="1" x14ac:dyDescent="0.3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4.25" customHeight="1" x14ac:dyDescent="0.3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4.25" customHeight="1" x14ac:dyDescent="0.3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4.25" customHeight="1" x14ac:dyDescent="0.3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4.25" customHeight="1" x14ac:dyDescent="0.3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4.25" customHeight="1" x14ac:dyDescent="0.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4.25" customHeight="1" x14ac:dyDescent="0.3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4.25" customHeight="1" x14ac:dyDescent="0.3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4.25" customHeight="1" x14ac:dyDescent="0.3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4.25" customHeight="1" x14ac:dyDescent="0.3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4.25" customHeight="1" x14ac:dyDescent="0.3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4.25" customHeight="1" x14ac:dyDescent="0.3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4.25" customHeight="1" x14ac:dyDescent="0.3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4.25" customHeight="1" x14ac:dyDescent="0.3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4.25" customHeight="1" x14ac:dyDescent="0.3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4.25" customHeight="1" x14ac:dyDescent="0.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4.25" customHeight="1" x14ac:dyDescent="0.3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4.25" customHeight="1" x14ac:dyDescent="0.3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4.25" customHeight="1" x14ac:dyDescent="0.3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4.25" customHeight="1" x14ac:dyDescent="0.3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4.25" customHeight="1" x14ac:dyDescent="0.3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4.25" customHeight="1" x14ac:dyDescent="0.3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4.25" customHeight="1" x14ac:dyDescent="0.3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4.25" customHeight="1" x14ac:dyDescent="0.3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4.25" customHeight="1" x14ac:dyDescent="0.3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4.25" customHeight="1" x14ac:dyDescent="0.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4.25" customHeight="1" x14ac:dyDescent="0.3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4.25" customHeight="1" x14ac:dyDescent="0.3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4.25" customHeight="1" x14ac:dyDescent="0.3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4.25" customHeight="1" x14ac:dyDescent="0.3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4.25" customHeight="1" x14ac:dyDescent="0.3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4.25" customHeight="1" x14ac:dyDescent="0.3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4.25" customHeight="1" x14ac:dyDescent="0.3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4.25" customHeight="1" x14ac:dyDescent="0.3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4.25" customHeight="1" x14ac:dyDescent="0.3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4.25" customHeight="1" x14ac:dyDescent="0.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4.25" customHeight="1" x14ac:dyDescent="0.3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4.25" customHeight="1" x14ac:dyDescent="0.3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4.25" customHeight="1" x14ac:dyDescent="0.3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4.25" customHeight="1" x14ac:dyDescent="0.3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4.25" customHeight="1" x14ac:dyDescent="0.3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4.25" customHeight="1" x14ac:dyDescent="0.3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4.25" customHeight="1" x14ac:dyDescent="0.3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4.25" customHeight="1" x14ac:dyDescent="0.3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4.25" customHeight="1" x14ac:dyDescent="0.3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4.25" customHeight="1" x14ac:dyDescent="0.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4.25" customHeight="1" x14ac:dyDescent="0.3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4.25" customHeight="1" x14ac:dyDescent="0.3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4.25" customHeight="1" x14ac:dyDescent="0.3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4.25" customHeight="1" x14ac:dyDescent="0.3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4.25" customHeight="1" x14ac:dyDescent="0.3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4.25" customHeight="1" x14ac:dyDescent="0.3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4.25" customHeight="1" x14ac:dyDescent="0.3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4.25" customHeight="1" x14ac:dyDescent="0.3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4.25" customHeight="1" x14ac:dyDescent="0.3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4.25" customHeight="1" x14ac:dyDescent="0.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4.25" customHeight="1" x14ac:dyDescent="0.3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4.25" customHeight="1" x14ac:dyDescent="0.3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4.25" customHeight="1" x14ac:dyDescent="0.3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4.25" customHeight="1" x14ac:dyDescent="0.3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4.25" customHeight="1" x14ac:dyDescent="0.3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4.25" customHeight="1" x14ac:dyDescent="0.3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4.25" customHeight="1" x14ac:dyDescent="0.3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4.25" customHeight="1" x14ac:dyDescent="0.3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4.25" customHeight="1" x14ac:dyDescent="0.3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4.25" customHeight="1" x14ac:dyDescent="0.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4.25" customHeight="1" x14ac:dyDescent="0.3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4.25" customHeight="1" x14ac:dyDescent="0.3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4.25" customHeight="1" x14ac:dyDescent="0.3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4.25" customHeight="1" x14ac:dyDescent="0.3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4.25" customHeight="1" x14ac:dyDescent="0.3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4.25" customHeight="1" x14ac:dyDescent="0.3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4.25" customHeight="1" x14ac:dyDescent="0.3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4.25" customHeight="1" x14ac:dyDescent="0.3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4.25" customHeight="1" x14ac:dyDescent="0.3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4.25" customHeight="1" x14ac:dyDescent="0.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4.25" customHeight="1" x14ac:dyDescent="0.3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4.25" customHeight="1" x14ac:dyDescent="0.3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4.25" customHeight="1" x14ac:dyDescent="0.3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4.25" customHeight="1" x14ac:dyDescent="0.3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4.25" customHeight="1" x14ac:dyDescent="0.3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4.25" customHeight="1" x14ac:dyDescent="0.3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4.25" customHeight="1" x14ac:dyDescent="0.3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4.25" customHeight="1" x14ac:dyDescent="0.3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4.25" customHeight="1" x14ac:dyDescent="0.3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4.25" customHeight="1" x14ac:dyDescent="0.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4.25" customHeight="1" x14ac:dyDescent="0.3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4.25" customHeight="1" x14ac:dyDescent="0.3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4.25" customHeight="1" x14ac:dyDescent="0.3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4.25" customHeight="1" x14ac:dyDescent="0.3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4.25" customHeight="1" x14ac:dyDescent="0.3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4.25" customHeight="1" x14ac:dyDescent="0.3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4.25" customHeight="1" x14ac:dyDescent="0.3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4.25" customHeight="1" x14ac:dyDescent="0.3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4.25" customHeight="1" x14ac:dyDescent="0.3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4.25" customHeight="1" x14ac:dyDescent="0.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4.25" customHeight="1" x14ac:dyDescent="0.3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4.25" customHeight="1" x14ac:dyDescent="0.3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4.25" customHeight="1" x14ac:dyDescent="0.3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4.25" customHeight="1" x14ac:dyDescent="0.3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4.25" customHeight="1" x14ac:dyDescent="0.3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4.25" customHeight="1" x14ac:dyDescent="0.3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4.25" customHeight="1" x14ac:dyDescent="0.3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4.25" customHeight="1" x14ac:dyDescent="0.3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4.25" customHeight="1" x14ac:dyDescent="0.3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4.25" customHeight="1" x14ac:dyDescent="0.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4.25" customHeight="1" x14ac:dyDescent="0.3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4.25" customHeight="1" x14ac:dyDescent="0.3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4.25" customHeight="1" x14ac:dyDescent="0.3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4.25" customHeight="1" x14ac:dyDescent="0.3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4.25" customHeight="1" x14ac:dyDescent="0.3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4.25" customHeight="1" x14ac:dyDescent="0.3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4.25" customHeight="1" x14ac:dyDescent="0.3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4.25" customHeight="1" x14ac:dyDescent="0.3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4.25" customHeight="1" x14ac:dyDescent="0.3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4.25" customHeight="1" x14ac:dyDescent="0.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4.25" customHeight="1" x14ac:dyDescent="0.3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4.25" customHeight="1" x14ac:dyDescent="0.3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4.25" customHeight="1" x14ac:dyDescent="0.3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4.25" customHeight="1" x14ac:dyDescent="0.3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4.25" customHeight="1" x14ac:dyDescent="0.3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4.25" customHeight="1" x14ac:dyDescent="0.3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4.25" customHeight="1" x14ac:dyDescent="0.3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4.25" customHeight="1" x14ac:dyDescent="0.3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4.25" customHeight="1" x14ac:dyDescent="0.3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4.25" customHeight="1" x14ac:dyDescent="0.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4.25" customHeight="1" x14ac:dyDescent="0.3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4.25" customHeight="1" x14ac:dyDescent="0.3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4.25" customHeight="1" x14ac:dyDescent="0.3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4.25" customHeight="1" x14ac:dyDescent="0.3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4.25" customHeight="1" x14ac:dyDescent="0.3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4.25" customHeight="1" x14ac:dyDescent="0.3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4.25" customHeight="1" x14ac:dyDescent="0.3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4.25" customHeight="1" x14ac:dyDescent="0.3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4.25" customHeight="1" x14ac:dyDescent="0.3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4.25" customHeight="1" x14ac:dyDescent="0.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4.25" customHeight="1" x14ac:dyDescent="0.3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4.25" customHeight="1" x14ac:dyDescent="0.3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4.25" customHeight="1" x14ac:dyDescent="0.3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4.25" customHeight="1" x14ac:dyDescent="0.3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4.25" customHeight="1" x14ac:dyDescent="0.3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4.25" customHeight="1" x14ac:dyDescent="0.3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4.25" customHeight="1" x14ac:dyDescent="0.3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4.25" customHeight="1" x14ac:dyDescent="0.3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4.25" customHeight="1" x14ac:dyDescent="0.3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4.25" customHeight="1" x14ac:dyDescent="0.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4.25" customHeight="1" x14ac:dyDescent="0.3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4.25" customHeight="1" x14ac:dyDescent="0.3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4.25" customHeight="1" x14ac:dyDescent="0.3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4.25" customHeight="1" x14ac:dyDescent="0.3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4.25" customHeight="1" x14ac:dyDescent="0.3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4.25" customHeight="1" x14ac:dyDescent="0.3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4.25" customHeight="1" x14ac:dyDescent="0.3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4.25" customHeight="1" x14ac:dyDescent="0.3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4.25" customHeight="1" x14ac:dyDescent="0.3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4.25" customHeight="1" x14ac:dyDescent="0.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4.25" customHeight="1" x14ac:dyDescent="0.3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4.25" customHeight="1" x14ac:dyDescent="0.3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4.25" customHeight="1" x14ac:dyDescent="0.3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4.25" customHeight="1" x14ac:dyDescent="0.3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4.25" customHeight="1" x14ac:dyDescent="0.3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4.25" customHeight="1" x14ac:dyDescent="0.3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4.25" customHeight="1" x14ac:dyDescent="0.3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4.25" customHeight="1" x14ac:dyDescent="0.3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4.25" customHeight="1" x14ac:dyDescent="0.3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4.25" customHeight="1" x14ac:dyDescent="0.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4.25" customHeight="1" x14ac:dyDescent="0.3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4.25" customHeight="1" x14ac:dyDescent="0.3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4.25" customHeight="1" x14ac:dyDescent="0.3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4.25" customHeight="1" x14ac:dyDescent="0.3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4.25" customHeight="1" x14ac:dyDescent="0.3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4.25" customHeight="1" x14ac:dyDescent="0.3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4.25" customHeight="1" x14ac:dyDescent="0.3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4.25" customHeight="1" x14ac:dyDescent="0.3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4.25" customHeight="1" x14ac:dyDescent="0.3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4.25" customHeight="1" x14ac:dyDescent="0.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4.25" customHeight="1" x14ac:dyDescent="0.3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4.25" customHeight="1" x14ac:dyDescent="0.3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4.25" customHeight="1" x14ac:dyDescent="0.3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4.25" customHeight="1" x14ac:dyDescent="0.3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4.25" customHeight="1" x14ac:dyDescent="0.3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4.25" customHeight="1" x14ac:dyDescent="0.3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4.25" customHeight="1" x14ac:dyDescent="0.3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4.25" customHeight="1" x14ac:dyDescent="0.3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4.25" customHeight="1" x14ac:dyDescent="0.3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4.25" customHeight="1" x14ac:dyDescent="0.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4.25" customHeight="1" x14ac:dyDescent="0.3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4.25" customHeight="1" x14ac:dyDescent="0.3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4.25" customHeight="1" x14ac:dyDescent="0.3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4.25" customHeight="1" x14ac:dyDescent="0.3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4.25" customHeight="1" x14ac:dyDescent="0.3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4.25" customHeight="1" x14ac:dyDescent="0.3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4.25" customHeight="1" x14ac:dyDescent="0.3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4.25" customHeight="1" x14ac:dyDescent="0.3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4.25" customHeight="1" x14ac:dyDescent="0.3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4.25" customHeight="1" x14ac:dyDescent="0.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4.25" customHeight="1" x14ac:dyDescent="0.3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4.25" customHeight="1" x14ac:dyDescent="0.3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4.25" customHeight="1" x14ac:dyDescent="0.3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4.25" customHeight="1" x14ac:dyDescent="0.3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4.25" customHeight="1" x14ac:dyDescent="0.3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4.25" customHeight="1" x14ac:dyDescent="0.3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4.25" customHeight="1" x14ac:dyDescent="0.3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4.25" customHeight="1" x14ac:dyDescent="0.3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4.25" customHeight="1" x14ac:dyDescent="0.3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4.25" customHeight="1" x14ac:dyDescent="0.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4.25" customHeight="1" x14ac:dyDescent="0.3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4.25" customHeight="1" x14ac:dyDescent="0.3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4.25" customHeight="1" x14ac:dyDescent="0.3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4.25" customHeight="1" x14ac:dyDescent="0.3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4.25" customHeight="1" x14ac:dyDescent="0.3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4.25" customHeight="1" x14ac:dyDescent="0.3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4.25" customHeight="1" x14ac:dyDescent="0.3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4.25" customHeight="1" x14ac:dyDescent="0.3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4.25" customHeight="1" x14ac:dyDescent="0.3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4.25" customHeight="1" x14ac:dyDescent="0.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4.25" customHeight="1" x14ac:dyDescent="0.3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4.25" customHeight="1" x14ac:dyDescent="0.3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4.25" customHeight="1" x14ac:dyDescent="0.3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4.25" customHeight="1" x14ac:dyDescent="0.3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4.25" customHeight="1" x14ac:dyDescent="0.3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4.25" customHeight="1" x14ac:dyDescent="0.3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4.25" customHeight="1" x14ac:dyDescent="0.3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4.25" customHeight="1" x14ac:dyDescent="0.3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4.25" customHeight="1" x14ac:dyDescent="0.3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4.25" customHeight="1" x14ac:dyDescent="0.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4.25" customHeight="1" x14ac:dyDescent="0.3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4.25" customHeight="1" x14ac:dyDescent="0.3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4.25" customHeight="1" x14ac:dyDescent="0.3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4.25" customHeight="1" x14ac:dyDescent="0.3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4.25" customHeight="1" x14ac:dyDescent="0.3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4.25" customHeight="1" x14ac:dyDescent="0.3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4.25" customHeight="1" x14ac:dyDescent="0.3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4.25" customHeight="1" x14ac:dyDescent="0.3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4.25" customHeight="1" x14ac:dyDescent="0.3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4.25" customHeight="1" x14ac:dyDescent="0.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4.25" customHeight="1" x14ac:dyDescent="0.3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4.25" customHeight="1" x14ac:dyDescent="0.3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4.25" customHeight="1" x14ac:dyDescent="0.3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4.25" customHeight="1" x14ac:dyDescent="0.3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4.25" customHeight="1" x14ac:dyDescent="0.3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4.25" customHeight="1" x14ac:dyDescent="0.3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4.25" customHeight="1" x14ac:dyDescent="0.3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4.25" customHeight="1" x14ac:dyDescent="0.3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4.25" customHeight="1" x14ac:dyDescent="0.3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4.25" customHeight="1" x14ac:dyDescent="0.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4.25" customHeight="1" x14ac:dyDescent="0.3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4.25" customHeight="1" x14ac:dyDescent="0.3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4.25" customHeight="1" x14ac:dyDescent="0.3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4.25" customHeight="1" x14ac:dyDescent="0.3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4.25" customHeight="1" x14ac:dyDescent="0.3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4.25" customHeight="1" x14ac:dyDescent="0.3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4.25" customHeight="1" x14ac:dyDescent="0.3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4.25" customHeight="1" x14ac:dyDescent="0.3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4.25" customHeight="1" x14ac:dyDescent="0.3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4.25" customHeight="1" x14ac:dyDescent="0.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4.25" customHeight="1" x14ac:dyDescent="0.3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4.25" customHeight="1" x14ac:dyDescent="0.3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4.25" customHeight="1" x14ac:dyDescent="0.3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4.25" customHeight="1" x14ac:dyDescent="0.3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4.25" customHeight="1" x14ac:dyDescent="0.3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4.25" customHeight="1" x14ac:dyDescent="0.3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4.25" customHeight="1" x14ac:dyDescent="0.3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5">
    <mergeCell ref="F6:H6"/>
    <mergeCell ref="F5:H5"/>
    <mergeCell ref="B4:H4"/>
    <mergeCell ref="B2:H2"/>
    <mergeCell ref="B3:H3"/>
  </mergeCells>
  <dataValidations count="1">
    <dataValidation type="list" allowBlank="1" sqref="F9:F143" xr:uid="{00000000-0002-0000-03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xSplit="2" ySplit="8" topLeftCell="C16" activePane="bottomRight" state="frozen"/>
      <selection pane="topRight"/>
      <selection pane="bottomLeft"/>
      <selection pane="bottomRight"/>
    </sheetView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2"/>
      <c r="B1" s="5"/>
      <c r="C1" s="5"/>
      <c r="D1" s="5"/>
      <c r="E1" s="5"/>
      <c r="F1" s="6"/>
      <c r="G1" s="9"/>
      <c r="H1" s="6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" customHeight="1" x14ac:dyDescent="0.3">
      <c r="A2" s="15" t="s">
        <v>94</v>
      </c>
      <c r="B2" s="117" t="s">
        <v>37</v>
      </c>
      <c r="C2" s="101"/>
      <c r="D2" s="101"/>
      <c r="E2" s="101"/>
      <c r="F2" s="101"/>
      <c r="G2" s="101"/>
      <c r="H2" s="102"/>
      <c r="I2" s="12"/>
      <c r="J2" s="13" t="s">
        <v>95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5.5" customHeight="1" x14ac:dyDescent="0.3">
      <c r="A3" s="23" t="s">
        <v>96</v>
      </c>
      <c r="B3" s="117" t="s">
        <v>36</v>
      </c>
      <c r="C3" s="101"/>
      <c r="D3" s="101"/>
      <c r="E3" s="101"/>
      <c r="F3" s="101"/>
      <c r="G3" s="101"/>
      <c r="H3" s="102"/>
      <c r="I3" s="12"/>
      <c r="J3" s="13" t="s">
        <v>97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8" customHeight="1" x14ac:dyDescent="0.3">
      <c r="A4" s="15" t="s">
        <v>98</v>
      </c>
      <c r="B4" s="117" t="s">
        <v>4</v>
      </c>
      <c r="C4" s="101"/>
      <c r="D4" s="101"/>
      <c r="E4" s="101"/>
      <c r="F4" s="101"/>
      <c r="G4" s="101"/>
      <c r="H4" s="102"/>
      <c r="I4" s="12"/>
      <c r="J4" s="13" t="s">
        <v>99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3">
      <c r="A5" s="27" t="s">
        <v>95</v>
      </c>
      <c r="B5" s="28" t="s">
        <v>97</v>
      </c>
      <c r="C5" s="28" t="s">
        <v>100</v>
      </c>
      <c r="D5" s="28" t="s">
        <v>99</v>
      </c>
      <c r="E5" s="29" t="s">
        <v>101</v>
      </c>
      <c r="F5" s="116" t="s">
        <v>102</v>
      </c>
      <c r="G5" s="101"/>
      <c r="H5" s="102"/>
      <c r="I5" s="30"/>
      <c r="J5" s="13" t="s">
        <v>100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" customHeight="1" x14ac:dyDescent="0.3">
      <c r="A6" s="33">
        <f>COUNTIF(F9:F996,"Passed")</f>
        <v>0</v>
      </c>
      <c r="B6" s="35">
        <f>COUNTIF(F9:F996,"Failed")</f>
        <v>0</v>
      </c>
      <c r="C6" s="35">
        <f>F6-E6-D6-B6-A6</f>
        <v>0</v>
      </c>
      <c r="D6" s="35">
        <f>COUNTIF(F9:F996,"Blocked")</f>
        <v>0</v>
      </c>
      <c r="E6" s="40">
        <f>COUNTIF(F9:F996,"Skipped")</f>
        <v>0</v>
      </c>
      <c r="F6" s="115">
        <f>COUNTIF(B9:B996,"?*")</f>
        <v>0</v>
      </c>
      <c r="G6" s="101"/>
      <c r="H6" s="102"/>
      <c r="I6" s="30"/>
      <c r="J6" s="13" t="s">
        <v>101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" customHeight="1" x14ac:dyDescent="0.3">
      <c r="A7" s="13"/>
      <c r="B7" s="13"/>
      <c r="C7" s="13"/>
      <c r="D7" s="46"/>
      <c r="E7" s="46"/>
      <c r="F7" s="48"/>
      <c r="G7" s="48"/>
      <c r="H7" s="48"/>
      <c r="I7" s="3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5.5" customHeight="1" x14ac:dyDescent="0.3">
      <c r="A8" s="49" t="s">
        <v>103</v>
      </c>
      <c r="B8" s="50" t="s">
        <v>104</v>
      </c>
      <c r="C8" s="50" t="s">
        <v>105</v>
      </c>
      <c r="D8" s="50" t="s">
        <v>106</v>
      </c>
      <c r="E8" s="52" t="s">
        <v>107</v>
      </c>
      <c r="F8" s="52" t="s">
        <v>108</v>
      </c>
      <c r="G8" s="52" t="s">
        <v>109</v>
      </c>
      <c r="H8" s="54" t="s">
        <v>47</v>
      </c>
      <c r="I8" s="5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91.25" customHeight="1" x14ac:dyDescent="0.3">
      <c r="A9" s="58" t="str">
        <f t="shared" ref="A9:A40" si="0">IF(OR(B9&lt;&gt;"",D9&lt;&gt;""),"["&amp;$B$2&amp;"-"&amp;(ROW()-8)&amp;"]","")</f>
        <v/>
      </c>
      <c r="B9" s="59"/>
      <c r="C9" s="59"/>
      <c r="D9" s="59"/>
      <c r="E9" s="59"/>
      <c r="F9" s="62"/>
      <c r="G9" s="63"/>
      <c r="H9" s="64" t="s">
        <v>201</v>
      </c>
      <c r="I9" s="6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1.25" customHeight="1" x14ac:dyDescent="0.3">
      <c r="A10" s="58" t="str">
        <f t="shared" si="0"/>
        <v/>
      </c>
      <c r="B10" s="59"/>
      <c r="C10" s="59"/>
      <c r="D10" s="59"/>
      <c r="E10" s="59"/>
      <c r="F10" s="62"/>
      <c r="G10" s="63"/>
      <c r="H10" s="64"/>
      <c r="I10" s="6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7.5" customHeight="1" x14ac:dyDescent="0.3">
      <c r="A11" s="58" t="str">
        <f t="shared" si="0"/>
        <v/>
      </c>
      <c r="B11" s="59"/>
      <c r="C11" s="59"/>
      <c r="D11" s="59"/>
      <c r="E11" s="59"/>
      <c r="F11" s="62"/>
      <c r="G11" s="63"/>
      <c r="H11" s="64"/>
      <c r="I11" s="66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02" customHeight="1" x14ac:dyDescent="0.3">
      <c r="A12" s="58" t="str">
        <f t="shared" si="0"/>
        <v/>
      </c>
      <c r="B12" s="59"/>
      <c r="C12" s="59"/>
      <c r="D12" s="59"/>
      <c r="E12" s="59"/>
      <c r="F12" s="62"/>
      <c r="G12" s="63"/>
      <c r="H12" s="64"/>
      <c r="I12" s="6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14.75" customHeight="1" x14ac:dyDescent="0.3">
      <c r="A13" s="58" t="str">
        <f t="shared" si="0"/>
        <v/>
      </c>
      <c r="B13" s="59"/>
      <c r="C13" s="59"/>
      <c r="D13" s="59"/>
      <c r="E13" s="59"/>
      <c r="F13" s="62"/>
      <c r="G13" s="63"/>
      <c r="H13" s="68"/>
      <c r="I13" s="6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14.75" customHeight="1" x14ac:dyDescent="0.3">
      <c r="A14" s="58" t="str">
        <f t="shared" si="0"/>
        <v/>
      </c>
      <c r="B14" s="59"/>
      <c r="C14" s="59"/>
      <c r="D14" s="59"/>
      <c r="E14" s="59"/>
      <c r="F14" s="62"/>
      <c r="G14" s="63"/>
      <c r="H14" s="64"/>
      <c r="I14" s="66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76.5" customHeight="1" x14ac:dyDescent="0.3">
      <c r="A15" s="58" t="str">
        <f t="shared" si="0"/>
        <v/>
      </c>
      <c r="B15" s="59"/>
      <c r="C15" s="59"/>
      <c r="D15" s="59"/>
      <c r="E15" s="59"/>
      <c r="F15" s="62"/>
      <c r="G15" s="63"/>
      <c r="H15" s="64"/>
      <c r="I15" s="6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3" customHeight="1" x14ac:dyDescent="0.3">
      <c r="A16" s="58" t="str">
        <f t="shared" si="0"/>
        <v/>
      </c>
      <c r="B16" s="59"/>
      <c r="C16" s="59"/>
      <c r="D16" s="59"/>
      <c r="E16" s="59"/>
      <c r="F16" s="62"/>
      <c r="G16" s="63"/>
      <c r="H16" s="64"/>
      <c r="I16" s="6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51" customHeight="1" x14ac:dyDescent="0.3">
      <c r="A17" s="58" t="str">
        <f t="shared" si="0"/>
        <v/>
      </c>
      <c r="B17" s="59"/>
      <c r="C17" s="59"/>
      <c r="D17" s="59"/>
      <c r="E17" s="70"/>
      <c r="F17" s="62"/>
      <c r="G17" s="63"/>
      <c r="H17" s="64"/>
      <c r="I17" s="6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58" t="str">
        <f t="shared" si="0"/>
        <v/>
      </c>
      <c r="B18" s="59"/>
      <c r="C18" s="59"/>
      <c r="D18" s="59"/>
      <c r="E18" s="70"/>
      <c r="F18" s="62"/>
      <c r="G18" s="63"/>
      <c r="H18" s="64"/>
      <c r="I18" s="6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58" t="str">
        <f t="shared" si="0"/>
        <v/>
      </c>
      <c r="B19" s="59"/>
      <c r="C19" s="59"/>
      <c r="D19" s="59"/>
      <c r="E19" s="70"/>
      <c r="F19" s="62"/>
      <c r="G19" s="63"/>
      <c r="H19" s="64"/>
      <c r="I19" s="6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58" t="str">
        <f t="shared" si="0"/>
        <v/>
      </c>
      <c r="B20" s="59"/>
      <c r="C20" s="59"/>
      <c r="D20" s="59"/>
      <c r="E20" s="70"/>
      <c r="F20" s="62"/>
      <c r="G20" s="63"/>
      <c r="H20" s="64"/>
      <c r="I20" s="6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58" t="str">
        <f t="shared" si="0"/>
        <v/>
      </c>
      <c r="B21" s="59"/>
      <c r="C21" s="59"/>
      <c r="D21" s="59"/>
      <c r="E21" s="70"/>
      <c r="F21" s="62"/>
      <c r="G21" s="63"/>
      <c r="H21" s="64"/>
      <c r="I21" s="6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58" t="str">
        <f t="shared" si="0"/>
        <v/>
      </c>
      <c r="B22" s="59"/>
      <c r="C22" s="59"/>
      <c r="D22" s="59"/>
      <c r="E22" s="70"/>
      <c r="F22" s="62"/>
      <c r="G22" s="63"/>
      <c r="H22" s="64"/>
      <c r="I22" s="6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58" t="str">
        <f t="shared" si="0"/>
        <v/>
      </c>
      <c r="B23" s="59"/>
      <c r="C23" s="59"/>
      <c r="D23" s="59"/>
      <c r="E23" s="70"/>
      <c r="F23" s="62"/>
      <c r="G23" s="63"/>
      <c r="H23" s="64"/>
      <c r="I23" s="6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58" t="str">
        <f t="shared" si="0"/>
        <v/>
      </c>
      <c r="B24" s="59"/>
      <c r="C24" s="59"/>
      <c r="D24" s="59"/>
      <c r="E24" s="70"/>
      <c r="F24" s="62"/>
      <c r="G24" s="63"/>
      <c r="H24" s="64"/>
      <c r="I24" s="6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58" t="str">
        <f t="shared" si="0"/>
        <v/>
      </c>
      <c r="B25" s="59"/>
      <c r="C25" s="59"/>
      <c r="D25" s="59"/>
      <c r="E25" s="70"/>
      <c r="F25" s="62"/>
      <c r="G25" s="63"/>
      <c r="H25" s="64"/>
      <c r="I25" s="6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58" t="str">
        <f t="shared" si="0"/>
        <v/>
      </c>
      <c r="B26" s="59"/>
      <c r="C26" s="59"/>
      <c r="D26" s="59"/>
      <c r="E26" s="70"/>
      <c r="F26" s="62"/>
      <c r="G26" s="63"/>
      <c r="H26" s="64"/>
      <c r="I26" s="6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58" t="str">
        <f t="shared" si="0"/>
        <v/>
      </c>
      <c r="B27" s="59"/>
      <c r="C27" s="59"/>
      <c r="D27" s="59"/>
      <c r="E27" s="70"/>
      <c r="F27" s="62"/>
      <c r="G27" s="63"/>
      <c r="H27" s="64"/>
      <c r="I27" s="6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58" t="str">
        <f t="shared" si="0"/>
        <v/>
      </c>
      <c r="B28" s="59"/>
      <c r="C28" s="59"/>
      <c r="D28" s="59"/>
      <c r="E28" s="70"/>
      <c r="F28" s="62"/>
      <c r="G28" s="63"/>
      <c r="H28" s="64"/>
      <c r="I28" s="6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58" t="str">
        <f t="shared" si="0"/>
        <v/>
      </c>
      <c r="B29" s="59"/>
      <c r="C29" s="59"/>
      <c r="D29" s="59"/>
      <c r="E29" s="70"/>
      <c r="F29" s="62"/>
      <c r="G29" s="63"/>
      <c r="H29" s="64"/>
      <c r="I29" s="6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58" t="str">
        <f t="shared" si="0"/>
        <v/>
      </c>
      <c r="B30" s="59"/>
      <c r="C30" s="59"/>
      <c r="D30" s="59"/>
      <c r="E30" s="70"/>
      <c r="F30" s="62"/>
      <c r="G30" s="63"/>
      <c r="H30" s="64"/>
      <c r="I30" s="6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58" t="str">
        <f t="shared" si="0"/>
        <v/>
      </c>
      <c r="B31" s="59"/>
      <c r="C31" s="59"/>
      <c r="D31" s="59"/>
      <c r="E31" s="70"/>
      <c r="F31" s="62"/>
      <c r="G31" s="63"/>
      <c r="H31" s="64"/>
      <c r="I31" s="6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58" t="str">
        <f t="shared" si="0"/>
        <v/>
      </c>
      <c r="B32" s="59"/>
      <c r="C32" s="59"/>
      <c r="D32" s="59"/>
      <c r="E32" s="70"/>
      <c r="F32" s="62"/>
      <c r="G32" s="63"/>
      <c r="H32" s="64"/>
      <c r="I32" s="6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58" t="str">
        <f t="shared" si="0"/>
        <v/>
      </c>
      <c r="B33" s="59"/>
      <c r="C33" s="59"/>
      <c r="D33" s="59"/>
      <c r="E33" s="70"/>
      <c r="F33" s="62"/>
      <c r="G33" s="63"/>
      <c r="H33" s="64"/>
      <c r="I33" s="6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58" t="str">
        <f t="shared" si="0"/>
        <v/>
      </c>
      <c r="B34" s="59"/>
      <c r="C34" s="59"/>
      <c r="D34" s="59"/>
      <c r="E34" s="70"/>
      <c r="F34" s="62"/>
      <c r="G34" s="63"/>
      <c r="H34" s="64"/>
      <c r="I34" s="6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58" t="str">
        <f t="shared" si="0"/>
        <v/>
      </c>
      <c r="B35" s="59"/>
      <c r="C35" s="59"/>
      <c r="D35" s="59"/>
      <c r="E35" s="70"/>
      <c r="F35" s="62"/>
      <c r="G35" s="63"/>
      <c r="H35" s="64"/>
      <c r="I35" s="6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58" t="str">
        <f t="shared" si="0"/>
        <v/>
      </c>
      <c r="B36" s="59"/>
      <c r="C36" s="59"/>
      <c r="D36" s="59"/>
      <c r="E36" s="70"/>
      <c r="F36" s="62"/>
      <c r="G36" s="63"/>
      <c r="H36" s="64"/>
      <c r="I36" s="6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58" t="str">
        <f t="shared" si="0"/>
        <v/>
      </c>
      <c r="B37" s="59"/>
      <c r="C37" s="59"/>
      <c r="D37" s="59"/>
      <c r="E37" s="70"/>
      <c r="F37" s="62"/>
      <c r="G37" s="63"/>
      <c r="H37" s="64"/>
      <c r="I37" s="6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58" t="str">
        <f t="shared" si="0"/>
        <v/>
      </c>
      <c r="B38" s="59"/>
      <c r="C38" s="59"/>
      <c r="D38" s="59"/>
      <c r="E38" s="70"/>
      <c r="F38" s="62"/>
      <c r="G38" s="63"/>
      <c r="H38" s="64"/>
      <c r="I38" s="6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58" t="str">
        <f t="shared" si="0"/>
        <v/>
      </c>
      <c r="B39" s="59"/>
      <c r="C39" s="59"/>
      <c r="D39" s="59"/>
      <c r="E39" s="70"/>
      <c r="F39" s="62"/>
      <c r="G39" s="63"/>
      <c r="H39" s="64"/>
      <c r="I39" s="6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58" t="str">
        <f t="shared" si="0"/>
        <v/>
      </c>
      <c r="B40" s="59"/>
      <c r="C40" s="59"/>
      <c r="D40" s="59"/>
      <c r="E40" s="70"/>
      <c r="F40" s="62"/>
      <c r="G40" s="63"/>
      <c r="H40" s="64"/>
      <c r="I40" s="6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58" t="str">
        <f t="shared" ref="A41:A72" si="1">IF(OR(B41&lt;&gt;"",D41&lt;&gt;""),"["&amp;$B$2&amp;"-"&amp;(ROW()-8)&amp;"]","")</f>
        <v/>
      </c>
      <c r="B41" s="59"/>
      <c r="C41" s="59"/>
      <c r="D41" s="59"/>
      <c r="E41" s="70"/>
      <c r="F41" s="62"/>
      <c r="G41" s="63"/>
      <c r="H41" s="64"/>
      <c r="I41" s="6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58" t="str">
        <f t="shared" si="1"/>
        <v/>
      </c>
      <c r="B42" s="59"/>
      <c r="C42" s="59"/>
      <c r="D42" s="59"/>
      <c r="E42" s="70"/>
      <c r="F42" s="62"/>
      <c r="G42" s="63"/>
      <c r="H42" s="64"/>
      <c r="I42" s="6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58" t="str">
        <f t="shared" si="1"/>
        <v/>
      </c>
      <c r="B43" s="59"/>
      <c r="C43" s="59"/>
      <c r="D43" s="59"/>
      <c r="E43" s="70"/>
      <c r="F43" s="62"/>
      <c r="G43" s="63"/>
      <c r="H43" s="64"/>
      <c r="I43" s="6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58" t="str">
        <f t="shared" si="1"/>
        <v/>
      </c>
      <c r="B44" s="59"/>
      <c r="C44" s="59"/>
      <c r="D44" s="59"/>
      <c r="E44" s="70"/>
      <c r="F44" s="62"/>
      <c r="G44" s="63"/>
      <c r="H44" s="64"/>
      <c r="I44" s="69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58" t="str">
        <f t="shared" si="1"/>
        <v/>
      </c>
      <c r="B45" s="59"/>
      <c r="C45" s="59"/>
      <c r="D45" s="59"/>
      <c r="E45" s="70"/>
      <c r="F45" s="62"/>
      <c r="G45" s="63"/>
      <c r="H45" s="64"/>
      <c r="I45" s="6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58" t="str">
        <f t="shared" si="1"/>
        <v/>
      </c>
      <c r="B46" s="59"/>
      <c r="C46" s="59"/>
      <c r="D46" s="59"/>
      <c r="E46" s="70"/>
      <c r="F46" s="62"/>
      <c r="G46" s="63"/>
      <c r="H46" s="64"/>
      <c r="I46" s="6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58" t="str">
        <f t="shared" si="1"/>
        <v/>
      </c>
      <c r="B47" s="59"/>
      <c r="C47" s="59"/>
      <c r="D47" s="59"/>
      <c r="E47" s="70"/>
      <c r="F47" s="62"/>
      <c r="G47" s="63"/>
      <c r="H47" s="64"/>
      <c r="I47" s="6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58" t="str">
        <f t="shared" si="1"/>
        <v/>
      </c>
      <c r="B48" s="59"/>
      <c r="C48" s="59"/>
      <c r="D48" s="59"/>
      <c r="E48" s="70"/>
      <c r="F48" s="62"/>
      <c r="G48" s="63"/>
      <c r="H48" s="64"/>
      <c r="I48" s="69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58" t="str">
        <f t="shared" si="1"/>
        <v/>
      </c>
      <c r="B49" s="59"/>
      <c r="C49" s="59"/>
      <c r="D49" s="59"/>
      <c r="E49" s="70"/>
      <c r="F49" s="62"/>
      <c r="G49" s="63"/>
      <c r="H49" s="64"/>
      <c r="I49" s="69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58" t="str">
        <f t="shared" si="1"/>
        <v/>
      </c>
      <c r="B50" s="59"/>
      <c r="C50" s="59"/>
      <c r="D50" s="59"/>
      <c r="E50" s="70"/>
      <c r="F50" s="62"/>
      <c r="G50" s="63"/>
      <c r="H50" s="64"/>
      <c r="I50" s="69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58" t="str">
        <f t="shared" si="1"/>
        <v/>
      </c>
      <c r="B51" s="59"/>
      <c r="C51" s="59"/>
      <c r="D51" s="59"/>
      <c r="E51" s="70"/>
      <c r="F51" s="62"/>
      <c r="G51" s="63"/>
      <c r="H51" s="64"/>
      <c r="I51" s="69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58" t="str">
        <f t="shared" si="1"/>
        <v/>
      </c>
      <c r="B52" s="59"/>
      <c r="C52" s="59"/>
      <c r="D52" s="59"/>
      <c r="E52" s="70"/>
      <c r="F52" s="62"/>
      <c r="G52" s="63"/>
      <c r="H52" s="64"/>
      <c r="I52" s="69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58" t="str">
        <f t="shared" si="1"/>
        <v/>
      </c>
      <c r="B53" s="59"/>
      <c r="C53" s="59"/>
      <c r="D53" s="59"/>
      <c r="E53" s="70"/>
      <c r="F53" s="62"/>
      <c r="G53" s="63"/>
      <c r="H53" s="64"/>
      <c r="I53" s="6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58" t="str">
        <f t="shared" si="1"/>
        <v/>
      </c>
      <c r="B54" s="59"/>
      <c r="C54" s="59"/>
      <c r="D54" s="59"/>
      <c r="E54" s="70"/>
      <c r="F54" s="62"/>
      <c r="G54" s="63"/>
      <c r="H54" s="64"/>
      <c r="I54" s="69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58" t="str">
        <f t="shared" si="1"/>
        <v/>
      </c>
      <c r="B55" s="59"/>
      <c r="C55" s="59"/>
      <c r="D55" s="59"/>
      <c r="E55" s="70"/>
      <c r="F55" s="62"/>
      <c r="G55" s="63"/>
      <c r="H55" s="64"/>
      <c r="I55" s="69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58" t="str">
        <f t="shared" si="1"/>
        <v/>
      </c>
      <c r="B56" s="59"/>
      <c r="C56" s="59"/>
      <c r="D56" s="59"/>
      <c r="E56" s="70"/>
      <c r="F56" s="62"/>
      <c r="G56" s="63"/>
      <c r="H56" s="64"/>
      <c r="I56" s="69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58" t="str">
        <f t="shared" si="1"/>
        <v/>
      </c>
      <c r="B57" s="59"/>
      <c r="C57" s="59"/>
      <c r="D57" s="59"/>
      <c r="E57" s="70"/>
      <c r="F57" s="62"/>
      <c r="G57" s="63"/>
      <c r="H57" s="64"/>
      <c r="I57" s="69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58" t="str">
        <f t="shared" si="1"/>
        <v/>
      </c>
      <c r="B58" s="59"/>
      <c r="C58" s="59"/>
      <c r="D58" s="59"/>
      <c r="E58" s="70"/>
      <c r="F58" s="62"/>
      <c r="G58" s="63"/>
      <c r="H58" s="64"/>
      <c r="I58" s="6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58" t="str">
        <f t="shared" si="1"/>
        <v/>
      </c>
      <c r="B59" s="59"/>
      <c r="C59" s="59"/>
      <c r="D59" s="59"/>
      <c r="E59" s="70"/>
      <c r="F59" s="62"/>
      <c r="G59" s="63"/>
      <c r="H59" s="64"/>
      <c r="I59" s="69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58" t="str">
        <f t="shared" si="1"/>
        <v/>
      </c>
      <c r="B60" s="59"/>
      <c r="C60" s="59"/>
      <c r="D60" s="59"/>
      <c r="E60" s="70"/>
      <c r="F60" s="62"/>
      <c r="G60" s="63"/>
      <c r="H60" s="64"/>
      <c r="I60" s="6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58" t="str">
        <f t="shared" si="1"/>
        <v/>
      </c>
      <c r="B61" s="59"/>
      <c r="C61" s="59"/>
      <c r="D61" s="59"/>
      <c r="E61" s="70"/>
      <c r="F61" s="62"/>
      <c r="G61" s="63"/>
      <c r="H61" s="64"/>
      <c r="I61" s="69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58" t="str">
        <f t="shared" si="1"/>
        <v/>
      </c>
      <c r="B62" s="59"/>
      <c r="C62" s="59"/>
      <c r="D62" s="59"/>
      <c r="E62" s="70"/>
      <c r="F62" s="62"/>
      <c r="G62" s="63"/>
      <c r="H62" s="64"/>
      <c r="I62" s="69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58" t="str">
        <f t="shared" si="1"/>
        <v/>
      </c>
      <c r="B63" s="59"/>
      <c r="C63" s="59"/>
      <c r="D63" s="59"/>
      <c r="E63" s="70"/>
      <c r="F63" s="62"/>
      <c r="G63" s="63"/>
      <c r="H63" s="64"/>
      <c r="I63" s="69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58" t="str">
        <f t="shared" si="1"/>
        <v/>
      </c>
      <c r="B64" s="59"/>
      <c r="C64" s="59"/>
      <c r="D64" s="59"/>
      <c r="E64" s="70"/>
      <c r="F64" s="62"/>
      <c r="G64" s="63"/>
      <c r="H64" s="64"/>
      <c r="I64" s="69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58" t="str">
        <f t="shared" si="1"/>
        <v/>
      </c>
      <c r="B65" s="59"/>
      <c r="C65" s="59"/>
      <c r="D65" s="59"/>
      <c r="E65" s="70"/>
      <c r="F65" s="62"/>
      <c r="G65" s="63"/>
      <c r="H65" s="64"/>
      <c r="I65" s="6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58" t="str">
        <f t="shared" si="1"/>
        <v/>
      </c>
      <c r="B66" s="59"/>
      <c r="C66" s="59"/>
      <c r="D66" s="59"/>
      <c r="E66" s="70"/>
      <c r="F66" s="62"/>
      <c r="G66" s="63"/>
      <c r="H66" s="64"/>
      <c r="I66" s="69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58" t="str">
        <f t="shared" si="1"/>
        <v/>
      </c>
      <c r="B67" s="59"/>
      <c r="C67" s="59"/>
      <c r="D67" s="59"/>
      <c r="E67" s="70"/>
      <c r="F67" s="62"/>
      <c r="G67" s="63"/>
      <c r="H67" s="64"/>
      <c r="I67" s="6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58" t="str">
        <f t="shared" si="1"/>
        <v/>
      </c>
      <c r="B68" s="59"/>
      <c r="C68" s="59"/>
      <c r="D68" s="59"/>
      <c r="E68" s="70"/>
      <c r="F68" s="62"/>
      <c r="G68" s="63"/>
      <c r="H68" s="64"/>
      <c r="I68" s="69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58" t="str">
        <f t="shared" si="1"/>
        <v/>
      </c>
      <c r="B69" s="59"/>
      <c r="C69" s="59"/>
      <c r="D69" s="59"/>
      <c r="E69" s="70"/>
      <c r="F69" s="62"/>
      <c r="G69" s="63"/>
      <c r="H69" s="64"/>
      <c r="I69" s="6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58" t="str">
        <f t="shared" si="1"/>
        <v/>
      </c>
      <c r="B70" s="59"/>
      <c r="C70" s="59"/>
      <c r="D70" s="59"/>
      <c r="E70" s="70"/>
      <c r="F70" s="62"/>
      <c r="G70" s="63"/>
      <c r="H70" s="64"/>
      <c r="I70" s="6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58" t="str">
        <f t="shared" si="1"/>
        <v/>
      </c>
      <c r="B71" s="59"/>
      <c r="C71" s="59"/>
      <c r="D71" s="59"/>
      <c r="E71" s="70"/>
      <c r="F71" s="62"/>
      <c r="G71" s="63"/>
      <c r="H71" s="64"/>
      <c r="I71" s="69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58" t="str">
        <f t="shared" si="1"/>
        <v/>
      </c>
      <c r="B72" s="59"/>
      <c r="C72" s="59"/>
      <c r="D72" s="59"/>
      <c r="E72" s="70"/>
      <c r="F72" s="62"/>
      <c r="G72" s="63"/>
      <c r="H72" s="64"/>
      <c r="I72" s="69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58" t="str">
        <f t="shared" ref="A73:A104" si="2">IF(OR(B73&lt;&gt;"",D73&lt;&gt;""),"["&amp;$B$2&amp;"-"&amp;(ROW()-8)&amp;"]","")</f>
        <v/>
      </c>
      <c r="B73" s="59"/>
      <c r="C73" s="59"/>
      <c r="D73" s="59"/>
      <c r="E73" s="70"/>
      <c r="F73" s="62"/>
      <c r="G73" s="63"/>
      <c r="H73" s="64"/>
      <c r="I73" s="69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58" t="str">
        <f t="shared" si="2"/>
        <v/>
      </c>
      <c r="B74" s="59"/>
      <c r="C74" s="59"/>
      <c r="D74" s="59"/>
      <c r="E74" s="70"/>
      <c r="F74" s="62"/>
      <c r="G74" s="63"/>
      <c r="H74" s="64"/>
      <c r="I74" s="69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58" t="str">
        <f t="shared" si="2"/>
        <v/>
      </c>
      <c r="B75" s="59"/>
      <c r="C75" s="59"/>
      <c r="D75" s="59"/>
      <c r="E75" s="70"/>
      <c r="F75" s="62"/>
      <c r="G75" s="63"/>
      <c r="H75" s="64"/>
      <c r="I75" s="69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58" t="str">
        <f t="shared" si="2"/>
        <v/>
      </c>
      <c r="B76" s="59"/>
      <c r="C76" s="59"/>
      <c r="D76" s="59"/>
      <c r="E76" s="70"/>
      <c r="F76" s="62"/>
      <c r="G76" s="63"/>
      <c r="H76" s="64"/>
      <c r="I76" s="69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58" t="str">
        <f t="shared" si="2"/>
        <v/>
      </c>
      <c r="B77" s="59"/>
      <c r="C77" s="59"/>
      <c r="D77" s="59"/>
      <c r="E77" s="70"/>
      <c r="F77" s="62"/>
      <c r="G77" s="63"/>
      <c r="H77" s="64"/>
      <c r="I77" s="69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58" t="str">
        <f t="shared" si="2"/>
        <v/>
      </c>
      <c r="B78" s="59"/>
      <c r="C78" s="59"/>
      <c r="D78" s="59"/>
      <c r="E78" s="70"/>
      <c r="F78" s="62"/>
      <c r="G78" s="63"/>
      <c r="H78" s="64"/>
      <c r="I78" s="69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58" t="str">
        <f t="shared" si="2"/>
        <v/>
      </c>
      <c r="B79" s="59"/>
      <c r="C79" s="59"/>
      <c r="D79" s="59"/>
      <c r="E79" s="70"/>
      <c r="F79" s="62"/>
      <c r="G79" s="63"/>
      <c r="H79" s="64"/>
      <c r="I79" s="69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58" t="str">
        <f t="shared" si="2"/>
        <v/>
      </c>
      <c r="B80" s="59"/>
      <c r="C80" s="59"/>
      <c r="D80" s="59"/>
      <c r="E80" s="70"/>
      <c r="F80" s="62"/>
      <c r="G80" s="63"/>
      <c r="H80" s="64"/>
      <c r="I80" s="69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58" t="str">
        <f t="shared" si="2"/>
        <v/>
      </c>
      <c r="B81" s="59"/>
      <c r="C81" s="59"/>
      <c r="D81" s="59"/>
      <c r="E81" s="70"/>
      <c r="F81" s="62"/>
      <c r="G81" s="63"/>
      <c r="H81" s="64"/>
      <c r="I81" s="69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58" t="str">
        <f t="shared" si="2"/>
        <v/>
      </c>
      <c r="B82" s="59"/>
      <c r="C82" s="59"/>
      <c r="D82" s="59"/>
      <c r="E82" s="70"/>
      <c r="F82" s="62"/>
      <c r="G82" s="63"/>
      <c r="H82" s="64"/>
      <c r="I82" s="69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58" t="str">
        <f t="shared" si="2"/>
        <v/>
      </c>
      <c r="B83" s="59"/>
      <c r="C83" s="59"/>
      <c r="D83" s="59"/>
      <c r="E83" s="70"/>
      <c r="F83" s="62"/>
      <c r="G83" s="63"/>
      <c r="H83" s="64"/>
      <c r="I83" s="69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58" t="str">
        <f t="shared" si="2"/>
        <v/>
      </c>
      <c r="B84" s="59"/>
      <c r="C84" s="59"/>
      <c r="D84" s="59"/>
      <c r="E84" s="70"/>
      <c r="F84" s="62"/>
      <c r="G84" s="63"/>
      <c r="H84" s="64"/>
      <c r="I84" s="69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58" t="str">
        <f t="shared" si="2"/>
        <v/>
      </c>
      <c r="B85" s="59"/>
      <c r="C85" s="59"/>
      <c r="D85" s="59"/>
      <c r="E85" s="70"/>
      <c r="F85" s="62"/>
      <c r="G85" s="63"/>
      <c r="H85" s="64"/>
      <c r="I85" s="69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58" t="str">
        <f t="shared" si="2"/>
        <v/>
      </c>
      <c r="B86" s="59"/>
      <c r="C86" s="59"/>
      <c r="D86" s="59"/>
      <c r="E86" s="70"/>
      <c r="F86" s="62"/>
      <c r="G86" s="63"/>
      <c r="H86" s="64"/>
      <c r="I86" s="69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58" t="str">
        <f t="shared" si="2"/>
        <v/>
      </c>
      <c r="B87" s="59"/>
      <c r="C87" s="59"/>
      <c r="D87" s="59"/>
      <c r="E87" s="70"/>
      <c r="F87" s="62"/>
      <c r="G87" s="63"/>
      <c r="H87" s="64"/>
      <c r="I87" s="69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58" t="str">
        <f t="shared" si="2"/>
        <v/>
      </c>
      <c r="B88" s="59"/>
      <c r="C88" s="59"/>
      <c r="D88" s="59"/>
      <c r="E88" s="70"/>
      <c r="F88" s="62"/>
      <c r="G88" s="63"/>
      <c r="H88" s="64"/>
      <c r="I88" s="69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58" t="str">
        <f t="shared" si="2"/>
        <v/>
      </c>
      <c r="B89" s="59"/>
      <c r="C89" s="59"/>
      <c r="D89" s="59"/>
      <c r="E89" s="70"/>
      <c r="F89" s="62"/>
      <c r="G89" s="63"/>
      <c r="H89" s="64"/>
      <c r="I89" s="69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58" t="str">
        <f t="shared" si="2"/>
        <v/>
      </c>
      <c r="B90" s="59"/>
      <c r="C90" s="59"/>
      <c r="D90" s="59"/>
      <c r="E90" s="70"/>
      <c r="F90" s="62"/>
      <c r="G90" s="63"/>
      <c r="H90" s="64"/>
      <c r="I90" s="69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58" t="str">
        <f t="shared" si="2"/>
        <v/>
      </c>
      <c r="B91" s="59"/>
      <c r="C91" s="59"/>
      <c r="D91" s="59"/>
      <c r="E91" s="70"/>
      <c r="F91" s="62"/>
      <c r="G91" s="63"/>
      <c r="H91" s="64"/>
      <c r="I91" s="69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58" t="str">
        <f t="shared" si="2"/>
        <v/>
      </c>
      <c r="B92" s="59"/>
      <c r="C92" s="59"/>
      <c r="D92" s="59"/>
      <c r="E92" s="70"/>
      <c r="F92" s="62"/>
      <c r="G92" s="63"/>
      <c r="H92" s="64"/>
      <c r="I92" s="69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58" t="str">
        <f t="shared" si="2"/>
        <v/>
      </c>
      <c r="B93" s="59"/>
      <c r="C93" s="59"/>
      <c r="D93" s="59"/>
      <c r="E93" s="70"/>
      <c r="F93" s="62"/>
      <c r="G93" s="63"/>
      <c r="H93" s="64"/>
      <c r="I93" s="69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58" t="str">
        <f t="shared" si="2"/>
        <v/>
      </c>
      <c r="B94" s="59"/>
      <c r="C94" s="59"/>
      <c r="D94" s="59"/>
      <c r="E94" s="70"/>
      <c r="F94" s="62"/>
      <c r="G94" s="63"/>
      <c r="H94" s="64"/>
      <c r="I94" s="69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58" t="str">
        <f t="shared" si="2"/>
        <v/>
      </c>
      <c r="B95" s="59"/>
      <c r="C95" s="59"/>
      <c r="D95" s="59"/>
      <c r="E95" s="70"/>
      <c r="F95" s="62"/>
      <c r="G95" s="63"/>
      <c r="H95" s="64"/>
      <c r="I95" s="6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58" t="str">
        <f t="shared" si="2"/>
        <v/>
      </c>
      <c r="B96" s="59"/>
      <c r="C96" s="59"/>
      <c r="D96" s="59"/>
      <c r="E96" s="70"/>
      <c r="F96" s="62"/>
      <c r="G96" s="63"/>
      <c r="H96" s="64"/>
      <c r="I96" s="69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58" t="str">
        <f t="shared" si="2"/>
        <v/>
      </c>
      <c r="B97" s="59"/>
      <c r="C97" s="59"/>
      <c r="D97" s="59"/>
      <c r="E97" s="70"/>
      <c r="F97" s="62"/>
      <c r="G97" s="63"/>
      <c r="H97" s="64"/>
      <c r="I97" s="6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58" t="str">
        <f t="shared" si="2"/>
        <v/>
      </c>
      <c r="B98" s="59"/>
      <c r="C98" s="59"/>
      <c r="D98" s="59"/>
      <c r="E98" s="70"/>
      <c r="F98" s="62"/>
      <c r="G98" s="63"/>
      <c r="H98" s="64"/>
      <c r="I98" s="69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58" t="str">
        <f t="shared" si="2"/>
        <v/>
      </c>
      <c r="B99" s="59"/>
      <c r="C99" s="59"/>
      <c r="D99" s="59"/>
      <c r="E99" s="70"/>
      <c r="F99" s="62"/>
      <c r="G99" s="63"/>
      <c r="H99" s="64"/>
      <c r="I99" s="69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58" t="str">
        <f t="shared" si="2"/>
        <v/>
      </c>
      <c r="B100" s="59"/>
      <c r="C100" s="59"/>
      <c r="D100" s="59"/>
      <c r="E100" s="70"/>
      <c r="F100" s="62"/>
      <c r="G100" s="63"/>
      <c r="H100" s="64"/>
      <c r="I100" s="69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58" t="str">
        <f t="shared" ref="A101:A108" si="3">IF(OR(B101&lt;&gt;"",D101&lt;&gt;""),"["&amp;TEXT($B$2,"##")&amp;"-"&amp;TEXT(ROW()-8,"##")&amp;"]","")</f>
        <v/>
      </c>
      <c r="B101" s="59"/>
      <c r="C101" s="59"/>
      <c r="D101" s="59"/>
      <c r="E101" s="70"/>
      <c r="F101" s="62"/>
      <c r="G101" s="63"/>
      <c r="H101" s="64"/>
      <c r="I101" s="69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58" t="str">
        <f t="shared" si="3"/>
        <v/>
      </c>
      <c r="B102" s="59"/>
      <c r="C102" s="59"/>
      <c r="D102" s="59"/>
      <c r="E102" s="70"/>
      <c r="F102" s="62"/>
      <c r="G102" s="63"/>
      <c r="H102" s="64"/>
      <c r="I102" s="69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58" t="str">
        <f t="shared" si="3"/>
        <v/>
      </c>
      <c r="B103" s="59"/>
      <c r="C103" s="59"/>
      <c r="D103" s="59"/>
      <c r="E103" s="70"/>
      <c r="F103" s="62"/>
      <c r="G103" s="63"/>
      <c r="H103" s="64"/>
      <c r="I103" s="69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58" t="str">
        <f t="shared" si="3"/>
        <v/>
      </c>
      <c r="B104" s="59"/>
      <c r="C104" s="59"/>
      <c r="D104" s="59"/>
      <c r="E104" s="70"/>
      <c r="F104" s="62"/>
      <c r="G104" s="63"/>
      <c r="H104" s="64"/>
      <c r="I104" s="69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58" t="str">
        <f t="shared" si="3"/>
        <v/>
      </c>
      <c r="B105" s="59"/>
      <c r="C105" s="59"/>
      <c r="D105" s="59"/>
      <c r="E105" s="70"/>
      <c r="F105" s="62"/>
      <c r="G105" s="63"/>
      <c r="H105" s="64"/>
      <c r="I105" s="69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58" t="str">
        <f t="shared" si="3"/>
        <v/>
      </c>
      <c r="B106" s="59"/>
      <c r="C106" s="59"/>
      <c r="D106" s="59"/>
      <c r="E106" s="70"/>
      <c r="F106" s="62"/>
      <c r="G106" s="63"/>
      <c r="H106" s="64"/>
      <c r="I106" s="69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58" t="str">
        <f t="shared" si="3"/>
        <v/>
      </c>
      <c r="B107" s="59"/>
      <c r="C107" s="59"/>
      <c r="D107" s="59"/>
      <c r="E107" s="70"/>
      <c r="F107" s="62"/>
      <c r="G107" s="63"/>
      <c r="H107" s="64"/>
      <c r="I107" s="69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58" t="str">
        <f t="shared" si="3"/>
        <v/>
      </c>
      <c r="B108" s="59"/>
      <c r="C108" s="59"/>
      <c r="D108" s="59"/>
      <c r="E108" s="70"/>
      <c r="F108" s="62"/>
      <c r="G108" s="63"/>
      <c r="H108" s="64"/>
      <c r="I108" s="69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69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69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69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69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69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69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69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69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69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69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69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69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69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69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69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69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69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69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69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69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69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69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69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69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69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69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69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69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69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69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69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69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69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69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69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69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69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69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69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69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69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69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69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69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69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69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69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69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69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69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69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69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69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69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69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69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69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69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69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69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69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69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69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69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69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69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69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69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69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69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69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69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69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69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69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69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69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69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69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69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69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69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69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69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69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69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69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69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69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69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69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69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69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69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69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69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69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69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69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69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69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69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69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69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69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69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69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69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69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69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69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69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69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69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69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69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69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69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69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69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69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69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69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69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69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69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69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69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69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69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69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69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69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69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69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69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69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69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69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69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69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69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69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69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69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69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69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69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69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69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69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69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69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69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69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69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69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69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69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69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69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69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69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69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69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69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69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69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69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69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69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69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69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69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69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69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69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69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69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69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69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69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69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69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69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69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69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69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69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69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69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69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69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69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69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69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69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69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69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69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4.25" customHeight="1" x14ac:dyDescent="0.3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4.25" customHeight="1" x14ac:dyDescent="0.3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4.25" customHeight="1" x14ac:dyDescent="0.3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4.25" customHeight="1" x14ac:dyDescent="0.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4.25" customHeight="1" x14ac:dyDescent="0.3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4.25" customHeight="1" x14ac:dyDescent="0.3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4.25" customHeight="1" x14ac:dyDescent="0.3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4.25" customHeight="1" x14ac:dyDescent="0.3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4.25" customHeight="1" x14ac:dyDescent="0.3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4.25" customHeight="1" x14ac:dyDescent="0.3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4.25" customHeight="1" x14ac:dyDescent="0.3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4.25" customHeight="1" x14ac:dyDescent="0.3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4.25" customHeight="1" x14ac:dyDescent="0.3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4.25" customHeight="1" x14ac:dyDescent="0.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4.25" customHeight="1" x14ac:dyDescent="0.3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4.25" customHeight="1" x14ac:dyDescent="0.3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4.25" customHeight="1" x14ac:dyDescent="0.3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4.25" customHeight="1" x14ac:dyDescent="0.3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4.25" customHeight="1" x14ac:dyDescent="0.3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4.25" customHeight="1" x14ac:dyDescent="0.3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4.25" customHeight="1" x14ac:dyDescent="0.3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4.25" customHeight="1" x14ac:dyDescent="0.3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4.25" customHeight="1" x14ac:dyDescent="0.3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4.25" customHeight="1" x14ac:dyDescent="0.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4.25" customHeight="1" x14ac:dyDescent="0.3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4.25" customHeight="1" x14ac:dyDescent="0.3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4.25" customHeight="1" x14ac:dyDescent="0.3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4.25" customHeight="1" x14ac:dyDescent="0.3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4.25" customHeight="1" x14ac:dyDescent="0.3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4.25" customHeight="1" x14ac:dyDescent="0.3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4.25" customHeight="1" x14ac:dyDescent="0.3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4.25" customHeight="1" x14ac:dyDescent="0.3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4.25" customHeight="1" x14ac:dyDescent="0.3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4.25" customHeight="1" x14ac:dyDescent="0.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4.25" customHeight="1" x14ac:dyDescent="0.3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4.25" customHeight="1" x14ac:dyDescent="0.3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4.25" customHeight="1" x14ac:dyDescent="0.3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4.25" customHeight="1" x14ac:dyDescent="0.3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4.25" customHeight="1" x14ac:dyDescent="0.3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4.25" customHeight="1" x14ac:dyDescent="0.3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4.25" customHeight="1" x14ac:dyDescent="0.3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4.25" customHeight="1" x14ac:dyDescent="0.3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4.25" customHeight="1" x14ac:dyDescent="0.3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4.25" customHeight="1" x14ac:dyDescent="0.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4.25" customHeight="1" x14ac:dyDescent="0.3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4.25" customHeight="1" x14ac:dyDescent="0.3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4.25" customHeight="1" x14ac:dyDescent="0.3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4.25" customHeight="1" x14ac:dyDescent="0.3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4.25" customHeight="1" x14ac:dyDescent="0.3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4.25" customHeight="1" x14ac:dyDescent="0.3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4.25" customHeight="1" x14ac:dyDescent="0.3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4.25" customHeight="1" x14ac:dyDescent="0.3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4.25" customHeight="1" x14ac:dyDescent="0.3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4.25" customHeight="1" x14ac:dyDescent="0.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4.25" customHeight="1" x14ac:dyDescent="0.3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4.25" customHeight="1" x14ac:dyDescent="0.3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4.25" customHeight="1" x14ac:dyDescent="0.3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4.25" customHeight="1" x14ac:dyDescent="0.3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4.25" customHeight="1" x14ac:dyDescent="0.3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4.25" customHeight="1" x14ac:dyDescent="0.3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4.25" customHeight="1" x14ac:dyDescent="0.3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4.25" customHeight="1" x14ac:dyDescent="0.3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4.25" customHeight="1" x14ac:dyDescent="0.3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4.25" customHeight="1" x14ac:dyDescent="0.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4.25" customHeight="1" x14ac:dyDescent="0.3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4.25" customHeight="1" x14ac:dyDescent="0.3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4.25" customHeight="1" x14ac:dyDescent="0.3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4.25" customHeight="1" x14ac:dyDescent="0.3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4.25" customHeight="1" x14ac:dyDescent="0.3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4.25" customHeight="1" x14ac:dyDescent="0.3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4.25" customHeight="1" x14ac:dyDescent="0.3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4.25" customHeight="1" x14ac:dyDescent="0.3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4.25" customHeight="1" x14ac:dyDescent="0.3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4.25" customHeight="1" x14ac:dyDescent="0.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4.25" customHeight="1" x14ac:dyDescent="0.3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4.25" customHeight="1" x14ac:dyDescent="0.3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4.25" customHeight="1" x14ac:dyDescent="0.3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4.25" customHeight="1" x14ac:dyDescent="0.3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4.25" customHeight="1" x14ac:dyDescent="0.3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4.25" customHeight="1" x14ac:dyDescent="0.3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4.25" customHeight="1" x14ac:dyDescent="0.3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4.25" customHeight="1" x14ac:dyDescent="0.3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4.25" customHeight="1" x14ac:dyDescent="0.3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4.25" customHeight="1" x14ac:dyDescent="0.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4.25" customHeight="1" x14ac:dyDescent="0.3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4.25" customHeight="1" x14ac:dyDescent="0.3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4.25" customHeight="1" x14ac:dyDescent="0.3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4.25" customHeight="1" x14ac:dyDescent="0.3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4.25" customHeight="1" x14ac:dyDescent="0.3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4.25" customHeight="1" x14ac:dyDescent="0.3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4.25" customHeight="1" x14ac:dyDescent="0.3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4.25" customHeight="1" x14ac:dyDescent="0.3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4.25" customHeight="1" x14ac:dyDescent="0.3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4.25" customHeight="1" x14ac:dyDescent="0.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4.25" customHeight="1" x14ac:dyDescent="0.3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4.25" customHeight="1" x14ac:dyDescent="0.3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4.25" customHeight="1" x14ac:dyDescent="0.3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4.25" customHeight="1" x14ac:dyDescent="0.3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4.25" customHeight="1" x14ac:dyDescent="0.3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4.25" customHeight="1" x14ac:dyDescent="0.3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4.25" customHeight="1" x14ac:dyDescent="0.3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4.25" customHeight="1" x14ac:dyDescent="0.3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4.25" customHeight="1" x14ac:dyDescent="0.3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4.25" customHeight="1" x14ac:dyDescent="0.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4.25" customHeight="1" x14ac:dyDescent="0.3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4.25" customHeight="1" x14ac:dyDescent="0.3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4.25" customHeight="1" x14ac:dyDescent="0.3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4.25" customHeight="1" x14ac:dyDescent="0.3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4.25" customHeight="1" x14ac:dyDescent="0.3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4.25" customHeight="1" x14ac:dyDescent="0.3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4.25" customHeight="1" x14ac:dyDescent="0.3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4.25" customHeight="1" x14ac:dyDescent="0.3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4.25" customHeight="1" x14ac:dyDescent="0.3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4.25" customHeight="1" x14ac:dyDescent="0.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4.25" customHeight="1" x14ac:dyDescent="0.3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4.25" customHeight="1" x14ac:dyDescent="0.3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4.25" customHeight="1" x14ac:dyDescent="0.3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4.25" customHeight="1" x14ac:dyDescent="0.3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4.25" customHeight="1" x14ac:dyDescent="0.3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4.25" customHeight="1" x14ac:dyDescent="0.3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4.25" customHeight="1" x14ac:dyDescent="0.3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4.25" customHeight="1" x14ac:dyDescent="0.3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4.25" customHeight="1" x14ac:dyDescent="0.3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4.25" customHeight="1" x14ac:dyDescent="0.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4.25" customHeight="1" x14ac:dyDescent="0.3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4.25" customHeight="1" x14ac:dyDescent="0.3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4.25" customHeight="1" x14ac:dyDescent="0.3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4.25" customHeight="1" x14ac:dyDescent="0.3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4.25" customHeight="1" x14ac:dyDescent="0.3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4.25" customHeight="1" x14ac:dyDescent="0.3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4.25" customHeight="1" x14ac:dyDescent="0.3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4.25" customHeight="1" x14ac:dyDescent="0.3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4.25" customHeight="1" x14ac:dyDescent="0.3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4.25" customHeight="1" x14ac:dyDescent="0.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4.25" customHeight="1" x14ac:dyDescent="0.3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4.25" customHeight="1" x14ac:dyDescent="0.3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4.25" customHeight="1" x14ac:dyDescent="0.3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4.25" customHeight="1" x14ac:dyDescent="0.3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4.25" customHeight="1" x14ac:dyDescent="0.3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4.25" customHeight="1" x14ac:dyDescent="0.3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4.25" customHeight="1" x14ac:dyDescent="0.3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4.25" customHeight="1" x14ac:dyDescent="0.3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4.25" customHeight="1" x14ac:dyDescent="0.3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4.25" customHeight="1" x14ac:dyDescent="0.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4.25" customHeight="1" x14ac:dyDescent="0.3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4.25" customHeight="1" x14ac:dyDescent="0.3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4.25" customHeight="1" x14ac:dyDescent="0.3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4.25" customHeight="1" x14ac:dyDescent="0.3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4.25" customHeight="1" x14ac:dyDescent="0.3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4.25" customHeight="1" x14ac:dyDescent="0.3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4.25" customHeight="1" x14ac:dyDescent="0.3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4.25" customHeight="1" x14ac:dyDescent="0.3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4.25" customHeight="1" x14ac:dyDescent="0.3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4.25" customHeight="1" x14ac:dyDescent="0.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4.25" customHeight="1" x14ac:dyDescent="0.3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4.25" customHeight="1" x14ac:dyDescent="0.3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4.25" customHeight="1" x14ac:dyDescent="0.3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4.25" customHeight="1" x14ac:dyDescent="0.3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4.25" customHeight="1" x14ac:dyDescent="0.3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4.25" customHeight="1" x14ac:dyDescent="0.3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4.25" customHeight="1" x14ac:dyDescent="0.3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4.25" customHeight="1" x14ac:dyDescent="0.3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4.25" customHeight="1" x14ac:dyDescent="0.3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4.25" customHeight="1" x14ac:dyDescent="0.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4.25" customHeight="1" x14ac:dyDescent="0.3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4.25" customHeight="1" x14ac:dyDescent="0.3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4.25" customHeight="1" x14ac:dyDescent="0.3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4.25" customHeight="1" x14ac:dyDescent="0.3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4.25" customHeight="1" x14ac:dyDescent="0.3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4.25" customHeight="1" x14ac:dyDescent="0.3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4.25" customHeight="1" x14ac:dyDescent="0.3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4.25" customHeight="1" x14ac:dyDescent="0.3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4.25" customHeight="1" x14ac:dyDescent="0.3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4.25" customHeight="1" x14ac:dyDescent="0.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4.25" customHeight="1" x14ac:dyDescent="0.3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4.25" customHeight="1" x14ac:dyDescent="0.3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4.25" customHeight="1" x14ac:dyDescent="0.3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4.25" customHeight="1" x14ac:dyDescent="0.3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4.25" customHeight="1" x14ac:dyDescent="0.3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4.25" customHeight="1" x14ac:dyDescent="0.3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4.25" customHeight="1" x14ac:dyDescent="0.3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4.25" customHeight="1" x14ac:dyDescent="0.3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4.25" customHeight="1" x14ac:dyDescent="0.3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4.25" customHeight="1" x14ac:dyDescent="0.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4.25" customHeight="1" x14ac:dyDescent="0.3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4.25" customHeight="1" x14ac:dyDescent="0.3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4.25" customHeight="1" x14ac:dyDescent="0.3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4.25" customHeight="1" x14ac:dyDescent="0.3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4.25" customHeight="1" x14ac:dyDescent="0.3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4.25" customHeight="1" x14ac:dyDescent="0.3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4.25" customHeight="1" x14ac:dyDescent="0.3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4.25" customHeight="1" x14ac:dyDescent="0.3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4.25" customHeight="1" x14ac:dyDescent="0.3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4.25" customHeight="1" x14ac:dyDescent="0.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4.25" customHeight="1" x14ac:dyDescent="0.3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4.25" customHeight="1" x14ac:dyDescent="0.3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4.25" customHeight="1" x14ac:dyDescent="0.3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4.25" customHeight="1" x14ac:dyDescent="0.3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4.25" customHeight="1" x14ac:dyDescent="0.3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4.25" customHeight="1" x14ac:dyDescent="0.3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4.25" customHeight="1" x14ac:dyDescent="0.3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4.25" customHeight="1" x14ac:dyDescent="0.3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4.25" customHeight="1" x14ac:dyDescent="0.3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4.25" customHeight="1" x14ac:dyDescent="0.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4.25" customHeight="1" x14ac:dyDescent="0.3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4.25" customHeight="1" x14ac:dyDescent="0.3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4.25" customHeight="1" x14ac:dyDescent="0.3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4.25" customHeight="1" x14ac:dyDescent="0.3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4.25" customHeight="1" x14ac:dyDescent="0.3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4.25" customHeight="1" x14ac:dyDescent="0.3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4.25" customHeight="1" x14ac:dyDescent="0.3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4.25" customHeight="1" x14ac:dyDescent="0.3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4.25" customHeight="1" x14ac:dyDescent="0.3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4.25" customHeight="1" x14ac:dyDescent="0.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4.25" customHeight="1" x14ac:dyDescent="0.3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4.25" customHeight="1" x14ac:dyDescent="0.3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4.25" customHeight="1" x14ac:dyDescent="0.3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4.25" customHeight="1" x14ac:dyDescent="0.3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4.25" customHeight="1" x14ac:dyDescent="0.3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4.25" customHeight="1" x14ac:dyDescent="0.3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4.25" customHeight="1" x14ac:dyDescent="0.3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4.25" customHeight="1" x14ac:dyDescent="0.3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4.25" customHeight="1" x14ac:dyDescent="0.3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4.25" customHeight="1" x14ac:dyDescent="0.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4.25" customHeight="1" x14ac:dyDescent="0.3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4.25" customHeight="1" x14ac:dyDescent="0.3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4.25" customHeight="1" x14ac:dyDescent="0.3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4.25" customHeight="1" x14ac:dyDescent="0.3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4.25" customHeight="1" x14ac:dyDescent="0.3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4.25" customHeight="1" x14ac:dyDescent="0.3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4.25" customHeight="1" x14ac:dyDescent="0.3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4.25" customHeight="1" x14ac:dyDescent="0.3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4.25" customHeight="1" x14ac:dyDescent="0.3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4.25" customHeight="1" x14ac:dyDescent="0.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4.25" customHeight="1" x14ac:dyDescent="0.3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4.25" customHeight="1" x14ac:dyDescent="0.3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4.25" customHeight="1" x14ac:dyDescent="0.3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4.25" customHeight="1" x14ac:dyDescent="0.3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4.25" customHeight="1" x14ac:dyDescent="0.3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4.25" customHeight="1" x14ac:dyDescent="0.3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4.25" customHeight="1" x14ac:dyDescent="0.3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4.25" customHeight="1" x14ac:dyDescent="0.3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4.25" customHeight="1" x14ac:dyDescent="0.3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4.25" customHeight="1" x14ac:dyDescent="0.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4.25" customHeight="1" x14ac:dyDescent="0.3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4.25" customHeight="1" x14ac:dyDescent="0.3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4.25" customHeight="1" x14ac:dyDescent="0.3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4.25" customHeight="1" x14ac:dyDescent="0.3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4.25" customHeight="1" x14ac:dyDescent="0.3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4.25" customHeight="1" x14ac:dyDescent="0.3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4.25" customHeight="1" x14ac:dyDescent="0.3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4.25" customHeight="1" x14ac:dyDescent="0.3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4.25" customHeight="1" x14ac:dyDescent="0.3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4.25" customHeight="1" x14ac:dyDescent="0.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4.25" customHeight="1" x14ac:dyDescent="0.3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4.25" customHeight="1" x14ac:dyDescent="0.3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4.25" customHeight="1" x14ac:dyDescent="0.3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4.25" customHeight="1" x14ac:dyDescent="0.3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4.25" customHeight="1" x14ac:dyDescent="0.3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4.25" customHeight="1" x14ac:dyDescent="0.3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4.25" customHeight="1" x14ac:dyDescent="0.3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4.25" customHeight="1" x14ac:dyDescent="0.3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4.25" customHeight="1" x14ac:dyDescent="0.3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4.25" customHeight="1" x14ac:dyDescent="0.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4.25" customHeight="1" x14ac:dyDescent="0.3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4.25" customHeight="1" x14ac:dyDescent="0.3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4.25" customHeight="1" x14ac:dyDescent="0.3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4.25" customHeight="1" x14ac:dyDescent="0.3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4.25" customHeight="1" x14ac:dyDescent="0.3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4.25" customHeight="1" x14ac:dyDescent="0.3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4.25" customHeight="1" x14ac:dyDescent="0.3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4.25" customHeight="1" x14ac:dyDescent="0.3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4.25" customHeight="1" x14ac:dyDescent="0.3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4.25" customHeight="1" x14ac:dyDescent="0.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4.25" customHeight="1" x14ac:dyDescent="0.3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4.25" customHeight="1" x14ac:dyDescent="0.3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4.25" customHeight="1" x14ac:dyDescent="0.3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4.25" customHeight="1" x14ac:dyDescent="0.3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4.25" customHeight="1" x14ac:dyDescent="0.3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4.25" customHeight="1" x14ac:dyDescent="0.3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4.25" customHeight="1" x14ac:dyDescent="0.3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4.25" customHeight="1" x14ac:dyDescent="0.3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4.25" customHeight="1" x14ac:dyDescent="0.3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4.25" customHeight="1" x14ac:dyDescent="0.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4.25" customHeight="1" x14ac:dyDescent="0.3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4.25" customHeight="1" x14ac:dyDescent="0.3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4.25" customHeight="1" x14ac:dyDescent="0.3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4.25" customHeight="1" x14ac:dyDescent="0.3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4.25" customHeight="1" x14ac:dyDescent="0.3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4.25" customHeight="1" x14ac:dyDescent="0.3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4.25" customHeight="1" x14ac:dyDescent="0.3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4.25" customHeight="1" x14ac:dyDescent="0.3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4.25" customHeight="1" x14ac:dyDescent="0.3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4.25" customHeight="1" x14ac:dyDescent="0.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4.25" customHeight="1" x14ac:dyDescent="0.3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4.25" customHeight="1" x14ac:dyDescent="0.3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4.25" customHeight="1" x14ac:dyDescent="0.3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4.25" customHeight="1" x14ac:dyDescent="0.3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4.25" customHeight="1" x14ac:dyDescent="0.3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4.25" customHeight="1" x14ac:dyDescent="0.3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4.25" customHeight="1" x14ac:dyDescent="0.3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4.25" customHeight="1" x14ac:dyDescent="0.3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4.25" customHeight="1" x14ac:dyDescent="0.3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4.25" customHeight="1" x14ac:dyDescent="0.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4.25" customHeight="1" x14ac:dyDescent="0.3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4.25" customHeight="1" x14ac:dyDescent="0.3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4.25" customHeight="1" x14ac:dyDescent="0.3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4.25" customHeight="1" x14ac:dyDescent="0.3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4.25" customHeight="1" x14ac:dyDescent="0.3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4.25" customHeight="1" x14ac:dyDescent="0.3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4.25" customHeight="1" x14ac:dyDescent="0.3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4.25" customHeight="1" x14ac:dyDescent="0.3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4.25" customHeight="1" x14ac:dyDescent="0.3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4.25" customHeight="1" x14ac:dyDescent="0.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4.25" customHeight="1" x14ac:dyDescent="0.3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4.25" customHeight="1" x14ac:dyDescent="0.3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4.25" customHeight="1" x14ac:dyDescent="0.3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4.25" customHeight="1" x14ac:dyDescent="0.3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4.25" customHeight="1" x14ac:dyDescent="0.3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4.25" customHeight="1" x14ac:dyDescent="0.3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4.25" customHeight="1" x14ac:dyDescent="0.3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4.25" customHeight="1" x14ac:dyDescent="0.3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4.25" customHeight="1" x14ac:dyDescent="0.3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4.25" customHeight="1" x14ac:dyDescent="0.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4.25" customHeight="1" x14ac:dyDescent="0.3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4.25" customHeight="1" x14ac:dyDescent="0.3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4.25" customHeight="1" x14ac:dyDescent="0.3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4.25" customHeight="1" x14ac:dyDescent="0.3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4.25" customHeight="1" x14ac:dyDescent="0.3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4.25" customHeight="1" x14ac:dyDescent="0.3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4.25" customHeight="1" x14ac:dyDescent="0.3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4.25" customHeight="1" x14ac:dyDescent="0.3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4.25" customHeight="1" x14ac:dyDescent="0.3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4.25" customHeight="1" x14ac:dyDescent="0.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4.25" customHeight="1" x14ac:dyDescent="0.3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4.25" customHeight="1" x14ac:dyDescent="0.3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4.25" customHeight="1" x14ac:dyDescent="0.3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4.25" customHeight="1" x14ac:dyDescent="0.3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4.25" customHeight="1" x14ac:dyDescent="0.3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4.25" customHeight="1" x14ac:dyDescent="0.3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4.25" customHeight="1" x14ac:dyDescent="0.3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4.25" customHeight="1" x14ac:dyDescent="0.3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4.25" customHeight="1" x14ac:dyDescent="0.3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4.25" customHeight="1" x14ac:dyDescent="0.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4.25" customHeight="1" x14ac:dyDescent="0.3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4.25" customHeight="1" x14ac:dyDescent="0.3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4.25" customHeight="1" x14ac:dyDescent="0.3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4.25" customHeight="1" x14ac:dyDescent="0.3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4.25" customHeight="1" x14ac:dyDescent="0.3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4.25" customHeight="1" x14ac:dyDescent="0.3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4.25" customHeight="1" x14ac:dyDescent="0.3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4.25" customHeight="1" x14ac:dyDescent="0.3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4.25" customHeight="1" x14ac:dyDescent="0.3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4.25" customHeight="1" x14ac:dyDescent="0.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4.25" customHeight="1" x14ac:dyDescent="0.3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4.25" customHeight="1" x14ac:dyDescent="0.3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4.25" customHeight="1" x14ac:dyDescent="0.3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4.25" customHeight="1" x14ac:dyDescent="0.3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4.25" customHeight="1" x14ac:dyDescent="0.3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4.25" customHeight="1" x14ac:dyDescent="0.3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4.25" customHeight="1" x14ac:dyDescent="0.3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4.25" customHeight="1" x14ac:dyDescent="0.3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4.25" customHeight="1" x14ac:dyDescent="0.3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4.25" customHeight="1" x14ac:dyDescent="0.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4.25" customHeight="1" x14ac:dyDescent="0.3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4.25" customHeight="1" x14ac:dyDescent="0.3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4.25" customHeight="1" x14ac:dyDescent="0.3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4.25" customHeight="1" x14ac:dyDescent="0.3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4.25" customHeight="1" x14ac:dyDescent="0.3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4.25" customHeight="1" x14ac:dyDescent="0.3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4.25" customHeight="1" x14ac:dyDescent="0.3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4.25" customHeight="1" x14ac:dyDescent="0.3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4.25" customHeight="1" x14ac:dyDescent="0.3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4.25" customHeight="1" x14ac:dyDescent="0.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4.25" customHeight="1" x14ac:dyDescent="0.3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4.25" customHeight="1" x14ac:dyDescent="0.3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4.25" customHeight="1" x14ac:dyDescent="0.3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4.25" customHeight="1" x14ac:dyDescent="0.3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4.25" customHeight="1" x14ac:dyDescent="0.3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4.25" customHeight="1" x14ac:dyDescent="0.3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4.25" customHeight="1" x14ac:dyDescent="0.3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4.25" customHeight="1" x14ac:dyDescent="0.3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4.25" customHeight="1" x14ac:dyDescent="0.3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4.25" customHeight="1" x14ac:dyDescent="0.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4.25" customHeight="1" x14ac:dyDescent="0.3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4.25" customHeight="1" x14ac:dyDescent="0.3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4.25" customHeight="1" x14ac:dyDescent="0.3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4.25" customHeight="1" x14ac:dyDescent="0.3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4.25" customHeight="1" x14ac:dyDescent="0.3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4.25" customHeight="1" x14ac:dyDescent="0.3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4.25" customHeight="1" x14ac:dyDescent="0.3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4.25" customHeight="1" x14ac:dyDescent="0.3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4.25" customHeight="1" x14ac:dyDescent="0.3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4.25" customHeight="1" x14ac:dyDescent="0.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4.25" customHeight="1" x14ac:dyDescent="0.3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4.25" customHeight="1" x14ac:dyDescent="0.3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4.25" customHeight="1" x14ac:dyDescent="0.3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4.25" customHeight="1" x14ac:dyDescent="0.3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4.25" customHeight="1" x14ac:dyDescent="0.3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4.25" customHeight="1" x14ac:dyDescent="0.3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4.25" customHeight="1" x14ac:dyDescent="0.3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4.25" customHeight="1" x14ac:dyDescent="0.3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4.25" customHeight="1" x14ac:dyDescent="0.3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4.25" customHeight="1" x14ac:dyDescent="0.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4.25" customHeight="1" x14ac:dyDescent="0.3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4.25" customHeight="1" x14ac:dyDescent="0.3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4.25" customHeight="1" x14ac:dyDescent="0.3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4.25" customHeight="1" x14ac:dyDescent="0.3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4.25" customHeight="1" x14ac:dyDescent="0.3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4.25" customHeight="1" x14ac:dyDescent="0.3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4.25" customHeight="1" x14ac:dyDescent="0.3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4.25" customHeight="1" x14ac:dyDescent="0.3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4.25" customHeight="1" x14ac:dyDescent="0.3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4.25" customHeight="1" x14ac:dyDescent="0.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4.25" customHeight="1" x14ac:dyDescent="0.3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4.25" customHeight="1" x14ac:dyDescent="0.3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4.25" customHeight="1" x14ac:dyDescent="0.3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4.25" customHeight="1" x14ac:dyDescent="0.3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4.25" customHeight="1" x14ac:dyDescent="0.3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4.25" customHeight="1" x14ac:dyDescent="0.3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4.25" customHeight="1" x14ac:dyDescent="0.3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4.25" customHeight="1" x14ac:dyDescent="0.3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4.25" customHeight="1" x14ac:dyDescent="0.3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4.25" customHeight="1" x14ac:dyDescent="0.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4.25" customHeight="1" x14ac:dyDescent="0.3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4.25" customHeight="1" x14ac:dyDescent="0.3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4.25" customHeight="1" x14ac:dyDescent="0.3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4.25" customHeight="1" x14ac:dyDescent="0.3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4.25" customHeight="1" x14ac:dyDescent="0.3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4.25" customHeight="1" x14ac:dyDescent="0.3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4.25" customHeight="1" x14ac:dyDescent="0.3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4.25" customHeight="1" x14ac:dyDescent="0.3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4.25" customHeight="1" x14ac:dyDescent="0.3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4.25" customHeight="1" x14ac:dyDescent="0.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4.25" customHeight="1" x14ac:dyDescent="0.3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4.25" customHeight="1" x14ac:dyDescent="0.3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4.25" customHeight="1" x14ac:dyDescent="0.3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4.25" customHeight="1" x14ac:dyDescent="0.3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4.25" customHeight="1" x14ac:dyDescent="0.3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4.25" customHeight="1" x14ac:dyDescent="0.3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4.25" customHeight="1" x14ac:dyDescent="0.3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4.25" customHeight="1" x14ac:dyDescent="0.3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4.25" customHeight="1" x14ac:dyDescent="0.3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4.25" customHeight="1" x14ac:dyDescent="0.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4.25" customHeight="1" x14ac:dyDescent="0.3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4.25" customHeight="1" x14ac:dyDescent="0.3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4.25" customHeight="1" x14ac:dyDescent="0.3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4.25" customHeight="1" x14ac:dyDescent="0.3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4.25" customHeight="1" x14ac:dyDescent="0.3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4.25" customHeight="1" x14ac:dyDescent="0.3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4.25" customHeight="1" x14ac:dyDescent="0.3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4.25" customHeight="1" x14ac:dyDescent="0.3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4.25" customHeight="1" x14ac:dyDescent="0.3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4.25" customHeight="1" x14ac:dyDescent="0.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4.25" customHeight="1" x14ac:dyDescent="0.3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4.25" customHeight="1" x14ac:dyDescent="0.3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4.25" customHeight="1" x14ac:dyDescent="0.3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4.25" customHeight="1" x14ac:dyDescent="0.3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4.25" customHeight="1" x14ac:dyDescent="0.3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4.25" customHeight="1" x14ac:dyDescent="0.3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4.25" customHeight="1" x14ac:dyDescent="0.3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4.25" customHeight="1" x14ac:dyDescent="0.3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4.25" customHeight="1" x14ac:dyDescent="0.3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4.25" customHeight="1" x14ac:dyDescent="0.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4.25" customHeight="1" x14ac:dyDescent="0.3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4.25" customHeight="1" x14ac:dyDescent="0.3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4.25" customHeight="1" x14ac:dyDescent="0.3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4.25" customHeight="1" x14ac:dyDescent="0.3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4.25" customHeight="1" x14ac:dyDescent="0.3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4.25" customHeight="1" x14ac:dyDescent="0.3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4.25" customHeight="1" x14ac:dyDescent="0.3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4.25" customHeight="1" x14ac:dyDescent="0.3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4.25" customHeight="1" x14ac:dyDescent="0.3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4.25" customHeight="1" x14ac:dyDescent="0.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4.25" customHeight="1" x14ac:dyDescent="0.3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4.25" customHeight="1" x14ac:dyDescent="0.3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4.25" customHeight="1" x14ac:dyDescent="0.3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4.25" customHeight="1" x14ac:dyDescent="0.3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4.25" customHeight="1" x14ac:dyDescent="0.3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4.25" customHeight="1" x14ac:dyDescent="0.3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4.25" customHeight="1" x14ac:dyDescent="0.3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4.25" customHeight="1" x14ac:dyDescent="0.3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4.25" customHeight="1" x14ac:dyDescent="0.3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4.25" customHeight="1" x14ac:dyDescent="0.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4.25" customHeight="1" x14ac:dyDescent="0.3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4.25" customHeight="1" x14ac:dyDescent="0.3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4.25" customHeight="1" x14ac:dyDescent="0.3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4.25" customHeight="1" x14ac:dyDescent="0.3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4.25" customHeight="1" x14ac:dyDescent="0.3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4.25" customHeight="1" x14ac:dyDescent="0.3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4.25" customHeight="1" x14ac:dyDescent="0.3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4.25" customHeight="1" x14ac:dyDescent="0.3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4.25" customHeight="1" x14ac:dyDescent="0.3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4.25" customHeight="1" x14ac:dyDescent="0.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4.25" customHeight="1" x14ac:dyDescent="0.3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4.25" customHeight="1" x14ac:dyDescent="0.3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4.25" customHeight="1" x14ac:dyDescent="0.3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4.25" customHeight="1" x14ac:dyDescent="0.3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4.25" customHeight="1" x14ac:dyDescent="0.3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4.25" customHeight="1" x14ac:dyDescent="0.3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4.25" customHeight="1" x14ac:dyDescent="0.3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4.25" customHeight="1" x14ac:dyDescent="0.3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4.25" customHeight="1" x14ac:dyDescent="0.3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4.25" customHeight="1" x14ac:dyDescent="0.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4.25" customHeight="1" x14ac:dyDescent="0.3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4.25" customHeight="1" x14ac:dyDescent="0.3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4.25" customHeight="1" x14ac:dyDescent="0.3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4.25" customHeight="1" x14ac:dyDescent="0.3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4.25" customHeight="1" x14ac:dyDescent="0.3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4.25" customHeight="1" x14ac:dyDescent="0.3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4.25" customHeight="1" x14ac:dyDescent="0.3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4.25" customHeight="1" x14ac:dyDescent="0.3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4.25" customHeight="1" x14ac:dyDescent="0.3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4.25" customHeight="1" x14ac:dyDescent="0.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4.25" customHeight="1" x14ac:dyDescent="0.3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4.25" customHeight="1" x14ac:dyDescent="0.3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4.25" customHeight="1" x14ac:dyDescent="0.3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4.25" customHeight="1" x14ac:dyDescent="0.3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4.25" customHeight="1" x14ac:dyDescent="0.3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4.25" customHeight="1" x14ac:dyDescent="0.3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4.25" customHeight="1" x14ac:dyDescent="0.3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4.25" customHeight="1" x14ac:dyDescent="0.3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4.25" customHeight="1" x14ac:dyDescent="0.3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4.25" customHeight="1" x14ac:dyDescent="0.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4.25" customHeight="1" x14ac:dyDescent="0.3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4.25" customHeight="1" x14ac:dyDescent="0.3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4.25" customHeight="1" x14ac:dyDescent="0.3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4.25" customHeight="1" x14ac:dyDescent="0.3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4.25" customHeight="1" x14ac:dyDescent="0.3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4.25" customHeight="1" x14ac:dyDescent="0.3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4.25" customHeight="1" x14ac:dyDescent="0.3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4.25" customHeight="1" x14ac:dyDescent="0.3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4.25" customHeight="1" x14ac:dyDescent="0.3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4.25" customHeight="1" x14ac:dyDescent="0.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4.25" customHeight="1" x14ac:dyDescent="0.3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4.25" customHeight="1" x14ac:dyDescent="0.3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4.25" customHeight="1" x14ac:dyDescent="0.3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4.25" customHeight="1" x14ac:dyDescent="0.3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4.25" customHeight="1" x14ac:dyDescent="0.3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4.25" customHeight="1" x14ac:dyDescent="0.3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4.25" customHeight="1" x14ac:dyDescent="0.3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4.25" customHeight="1" x14ac:dyDescent="0.3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4.25" customHeight="1" x14ac:dyDescent="0.3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4.25" customHeight="1" x14ac:dyDescent="0.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4.25" customHeight="1" x14ac:dyDescent="0.3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4.25" customHeight="1" x14ac:dyDescent="0.3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4.25" customHeight="1" x14ac:dyDescent="0.3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4.25" customHeight="1" x14ac:dyDescent="0.3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4.25" customHeight="1" x14ac:dyDescent="0.3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4.25" customHeight="1" x14ac:dyDescent="0.3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4.25" customHeight="1" x14ac:dyDescent="0.3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4.25" customHeight="1" x14ac:dyDescent="0.3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4.25" customHeight="1" x14ac:dyDescent="0.3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4.25" customHeight="1" x14ac:dyDescent="0.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4.25" customHeight="1" x14ac:dyDescent="0.3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4.25" customHeight="1" x14ac:dyDescent="0.3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4.25" customHeight="1" x14ac:dyDescent="0.3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4.25" customHeight="1" x14ac:dyDescent="0.3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4.25" customHeight="1" x14ac:dyDescent="0.3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4.25" customHeight="1" x14ac:dyDescent="0.3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4.25" customHeight="1" x14ac:dyDescent="0.3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4.25" customHeight="1" x14ac:dyDescent="0.3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4.25" customHeight="1" x14ac:dyDescent="0.3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4.25" customHeight="1" x14ac:dyDescent="0.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4.25" customHeight="1" x14ac:dyDescent="0.3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4.25" customHeight="1" x14ac:dyDescent="0.3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4.25" customHeight="1" x14ac:dyDescent="0.3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4.25" customHeight="1" x14ac:dyDescent="0.3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4.25" customHeight="1" x14ac:dyDescent="0.3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4.25" customHeight="1" x14ac:dyDescent="0.3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4.25" customHeight="1" x14ac:dyDescent="0.3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4.25" customHeight="1" x14ac:dyDescent="0.3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4.25" customHeight="1" x14ac:dyDescent="0.3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4.25" customHeight="1" x14ac:dyDescent="0.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4.25" customHeight="1" x14ac:dyDescent="0.3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4.25" customHeight="1" x14ac:dyDescent="0.3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4.25" customHeight="1" x14ac:dyDescent="0.3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4.25" customHeight="1" x14ac:dyDescent="0.3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4.25" customHeight="1" x14ac:dyDescent="0.3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4.25" customHeight="1" x14ac:dyDescent="0.3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4.25" customHeight="1" x14ac:dyDescent="0.3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4.25" customHeight="1" x14ac:dyDescent="0.3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4.25" customHeight="1" x14ac:dyDescent="0.3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4.25" customHeight="1" x14ac:dyDescent="0.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4.25" customHeight="1" x14ac:dyDescent="0.3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4.25" customHeight="1" x14ac:dyDescent="0.3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4.25" customHeight="1" x14ac:dyDescent="0.3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4.25" customHeight="1" x14ac:dyDescent="0.3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4.25" customHeight="1" x14ac:dyDescent="0.3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4.25" customHeight="1" x14ac:dyDescent="0.3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4.25" customHeight="1" x14ac:dyDescent="0.3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4.25" customHeight="1" x14ac:dyDescent="0.3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4.25" customHeight="1" x14ac:dyDescent="0.3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4.25" customHeight="1" x14ac:dyDescent="0.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4.25" customHeight="1" x14ac:dyDescent="0.3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4.25" customHeight="1" x14ac:dyDescent="0.3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4.25" customHeight="1" x14ac:dyDescent="0.3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4.25" customHeight="1" x14ac:dyDescent="0.3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4.25" customHeight="1" x14ac:dyDescent="0.3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4.25" customHeight="1" x14ac:dyDescent="0.3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4.25" customHeight="1" x14ac:dyDescent="0.3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4.25" customHeight="1" x14ac:dyDescent="0.3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4.25" customHeight="1" x14ac:dyDescent="0.3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4.25" customHeight="1" x14ac:dyDescent="0.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4.25" customHeight="1" x14ac:dyDescent="0.3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4.25" customHeight="1" x14ac:dyDescent="0.3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4.25" customHeight="1" x14ac:dyDescent="0.3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4.25" customHeight="1" x14ac:dyDescent="0.3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4.25" customHeight="1" x14ac:dyDescent="0.3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4.25" customHeight="1" x14ac:dyDescent="0.3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4.25" customHeight="1" x14ac:dyDescent="0.3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4.25" customHeight="1" x14ac:dyDescent="0.3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4.25" customHeight="1" x14ac:dyDescent="0.3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4.25" customHeight="1" x14ac:dyDescent="0.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4.25" customHeight="1" x14ac:dyDescent="0.3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4.25" customHeight="1" x14ac:dyDescent="0.3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4.25" customHeight="1" x14ac:dyDescent="0.3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4.25" customHeight="1" x14ac:dyDescent="0.3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4.25" customHeight="1" x14ac:dyDescent="0.3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4.25" customHeight="1" x14ac:dyDescent="0.3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4.25" customHeight="1" x14ac:dyDescent="0.3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4.25" customHeight="1" x14ac:dyDescent="0.3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4.25" customHeight="1" x14ac:dyDescent="0.3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4.25" customHeight="1" x14ac:dyDescent="0.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4.25" customHeight="1" x14ac:dyDescent="0.3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4.25" customHeight="1" x14ac:dyDescent="0.3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4.25" customHeight="1" x14ac:dyDescent="0.3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4.25" customHeight="1" x14ac:dyDescent="0.3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4.25" customHeight="1" x14ac:dyDescent="0.3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4.25" customHeight="1" x14ac:dyDescent="0.3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4.25" customHeight="1" x14ac:dyDescent="0.3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4.25" customHeight="1" x14ac:dyDescent="0.3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4.25" customHeight="1" x14ac:dyDescent="0.3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4.25" customHeight="1" x14ac:dyDescent="0.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4.25" customHeight="1" x14ac:dyDescent="0.3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4.25" customHeight="1" x14ac:dyDescent="0.3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4.25" customHeight="1" x14ac:dyDescent="0.3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4.25" customHeight="1" x14ac:dyDescent="0.3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4.25" customHeight="1" x14ac:dyDescent="0.3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4.25" customHeight="1" x14ac:dyDescent="0.3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4.25" customHeight="1" x14ac:dyDescent="0.3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4.25" customHeight="1" x14ac:dyDescent="0.3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4.25" customHeight="1" x14ac:dyDescent="0.3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4.25" customHeight="1" x14ac:dyDescent="0.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4.25" customHeight="1" x14ac:dyDescent="0.3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4.25" customHeight="1" x14ac:dyDescent="0.3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4.25" customHeight="1" x14ac:dyDescent="0.3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4.25" customHeight="1" x14ac:dyDescent="0.3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4.25" customHeight="1" x14ac:dyDescent="0.3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4.25" customHeight="1" x14ac:dyDescent="0.3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4.25" customHeight="1" x14ac:dyDescent="0.3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4.25" customHeight="1" x14ac:dyDescent="0.3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4.25" customHeight="1" x14ac:dyDescent="0.3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4.25" customHeight="1" x14ac:dyDescent="0.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4.25" customHeight="1" x14ac:dyDescent="0.3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4.25" customHeight="1" x14ac:dyDescent="0.3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4.25" customHeight="1" x14ac:dyDescent="0.3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4.25" customHeight="1" x14ac:dyDescent="0.3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4.25" customHeight="1" x14ac:dyDescent="0.3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4.25" customHeight="1" x14ac:dyDescent="0.3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4.25" customHeight="1" x14ac:dyDescent="0.3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4.25" customHeight="1" x14ac:dyDescent="0.3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4.25" customHeight="1" x14ac:dyDescent="0.3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4.25" customHeight="1" x14ac:dyDescent="0.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4.25" customHeight="1" x14ac:dyDescent="0.3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4.25" customHeight="1" x14ac:dyDescent="0.3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4.25" customHeight="1" x14ac:dyDescent="0.3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4.25" customHeight="1" x14ac:dyDescent="0.3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4.25" customHeight="1" x14ac:dyDescent="0.3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4.25" customHeight="1" x14ac:dyDescent="0.3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4.25" customHeight="1" x14ac:dyDescent="0.3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4.25" customHeight="1" x14ac:dyDescent="0.3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4.25" customHeight="1" x14ac:dyDescent="0.3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4.25" customHeight="1" x14ac:dyDescent="0.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4.25" customHeight="1" x14ac:dyDescent="0.3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4.25" customHeight="1" x14ac:dyDescent="0.3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4.25" customHeight="1" x14ac:dyDescent="0.3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4.25" customHeight="1" x14ac:dyDescent="0.3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4.25" customHeight="1" x14ac:dyDescent="0.3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4.25" customHeight="1" x14ac:dyDescent="0.3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4.25" customHeight="1" x14ac:dyDescent="0.3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4.25" customHeight="1" x14ac:dyDescent="0.3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4.25" customHeight="1" x14ac:dyDescent="0.3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4.25" customHeight="1" x14ac:dyDescent="0.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4.25" customHeight="1" x14ac:dyDescent="0.3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4.25" customHeight="1" x14ac:dyDescent="0.3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4.25" customHeight="1" x14ac:dyDescent="0.3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4.25" customHeight="1" x14ac:dyDescent="0.3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4.25" customHeight="1" x14ac:dyDescent="0.3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4.25" customHeight="1" x14ac:dyDescent="0.3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4.25" customHeight="1" x14ac:dyDescent="0.3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5">
    <mergeCell ref="F6:H6"/>
    <mergeCell ref="F5:H5"/>
    <mergeCell ref="B4:H4"/>
    <mergeCell ref="B2:H2"/>
    <mergeCell ref="B3:H3"/>
  </mergeCells>
  <dataValidations count="1">
    <dataValidation type="list" allowBlank="1" sqref="F9:F143" xr:uid="{00000000-0002-0000-0400-000000000000}">
      <formula1>$J$2:$J$6</formula1>
    </dataValidation>
  </dataValidation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xSplit="2" ySplit="8" topLeftCell="C9" activePane="bottomRight" state="frozen"/>
      <selection pane="topRight"/>
      <selection pane="bottomLeft"/>
      <selection pane="bottomRight" activeCell="H9" sqref="H9"/>
    </sheetView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2"/>
      <c r="B1" s="5"/>
      <c r="C1" s="5"/>
      <c r="D1" s="5"/>
      <c r="E1" s="5"/>
      <c r="F1" s="6"/>
      <c r="G1" s="9"/>
      <c r="H1" s="6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" customHeight="1" x14ac:dyDescent="0.3">
      <c r="A2" s="15" t="s">
        <v>94</v>
      </c>
      <c r="B2" s="117" t="s">
        <v>40</v>
      </c>
      <c r="C2" s="101"/>
      <c r="D2" s="101"/>
      <c r="E2" s="101"/>
      <c r="F2" s="101"/>
      <c r="G2" s="101"/>
      <c r="H2" s="102"/>
      <c r="I2" s="12"/>
      <c r="J2" s="13" t="s">
        <v>95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5.5" customHeight="1" x14ac:dyDescent="0.3">
      <c r="A3" s="23" t="s">
        <v>96</v>
      </c>
      <c r="B3" s="117" t="s">
        <v>39</v>
      </c>
      <c r="C3" s="101"/>
      <c r="D3" s="101"/>
      <c r="E3" s="101"/>
      <c r="F3" s="101"/>
      <c r="G3" s="101"/>
      <c r="H3" s="102"/>
      <c r="I3" s="12"/>
      <c r="J3" s="13" t="s">
        <v>97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8" customHeight="1" x14ac:dyDescent="0.3">
      <c r="A4" s="15" t="s">
        <v>98</v>
      </c>
      <c r="B4" s="117" t="s">
        <v>4</v>
      </c>
      <c r="C4" s="101"/>
      <c r="D4" s="101"/>
      <c r="E4" s="101"/>
      <c r="F4" s="101"/>
      <c r="G4" s="101"/>
      <c r="H4" s="102"/>
      <c r="I4" s="12"/>
      <c r="J4" s="13" t="s">
        <v>99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3">
      <c r="A5" s="27" t="s">
        <v>95</v>
      </c>
      <c r="B5" s="28" t="s">
        <v>97</v>
      </c>
      <c r="C5" s="28" t="s">
        <v>100</v>
      </c>
      <c r="D5" s="28" t="s">
        <v>99</v>
      </c>
      <c r="E5" s="29" t="s">
        <v>101</v>
      </c>
      <c r="F5" s="116" t="s">
        <v>102</v>
      </c>
      <c r="G5" s="101"/>
      <c r="H5" s="102"/>
      <c r="I5" s="30"/>
      <c r="J5" s="13" t="s">
        <v>100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" customHeight="1" x14ac:dyDescent="0.3">
      <c r="A6" s="33">
        <f>COUNTIF(F9:F996,"Passed")</f>
        <v>0</v>
      </c>
      <c r="B6" s="35">
        <f>COUNTIF(F9:F996,"Failed")</f>
        <v>0</v>
      </c>
      <c r="C6" s="35">
        <f>F6-E6-D6-B6-A6</f>
        <v>0</v>
      </c>
      <c r="D6" s="35">
        <f>COUNTIF(F9:F996,"Blocked")</f>
        <v>0</v>
      </c>
      <c r="E6" s="40">
        <f>COUNTIF(F9:F996,"Skipped")</f>
        <v>0</v>
      </c>
      <c r="F6" s="115">
        <f>COUNTIF(B9:B996,"?*")</f>
        <v>0</v>
      </c>
      <c r="G6" s="101"/>
      <c r="H6" s="102"/>
      <c r="I6" s="30"/>
      <c r="J6" s="13" t="s">
        <v>101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" customHeight="1" x14ac:dyDescent="0.3">
      <c r="A7" s="13"/>
      <c r="B7" s="13"/>
      <c r="C7" s="13"/>
      <c r="D7" s="46"/>
      <c r="E7" s="46"/>
      <c r="F7" s="48"/>
      <c r="G7" s="48"/>
      <c r="H7" s="48"/>
      <c r="I7" s="3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5.5" customHeight="1" x14ac:dyDescent="0.3">
      <c r="A8" s="49" t="s">
        <v>103</v>
      </c>
      <c r="B8" s="50" t="s">
        <v>104</v>
      </c>
      <c r="C8" s="50" t="s">
        <v>105</v>
      </c>
      <c r="D8" s="50" t="s">
        <v>106</v>
      </c>
      <c r="E8" s="52" t="s">
        <v>107</v>
      </c>
      <c r="F8" s="52" t="s">
        <v>108</v>
      </c>
      <c r="G8" s="52" t="s">
        <v>109</v>
      </c>
      <c r="H8" s="54" t="s">
        <v>47</v>
      </c>
      <c r="I8" s="5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91.25" customHeight="1" x14ac:dyDescent="0.3">
      <c r="A9" s="58" t="str">
        <f t="shared" ref="A9:A40" si="0">IF(OR(B9&lt;&gt;"",D9&lt;&gt;""),"["&amp;$B$2&amp;"-"&amp;(ROW()-8)&amp;"]","")</f>
        <v/>
      </c>
      <c r="B9" s="59"/>
      <c r="C9" s="59"/>
      <c r="D9" s="59"/>
      <c r="E9" s="59"/>
      <c r="F9" s="62"/>
      <c r="G9" s="63"/>
      <c r="H9" s="64"/>
      <c r="I9" s="6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1.25" customHeight="1" x14ac:dyDescent="0.3">
      <c r="A10" s="58" t="str">
        <f t="shared" si="0"/>
        <v/>
      </c>
      <c r="B10" s="59"/>
      <c r="C10" s="59"/>
      <c r="D10" s="59"/>
      <c r="E10" s="59"/>
      <c r="F10" s="62"/>
      <c r="G10" s="63"/>
      <c r="H10" s="64"/>
      <c r="I10" s="6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7.5" customHeight="1" x14ac:dyDescent="0.3">
      <c r="A11" s="58" t="str">
        <f t="shared" si="0"/>
        <v/>
      </c>
      <c r="B11" s="59"/>
      <c r="C11" s="59"/>
      <c r="D11" s="59"/>
      <c r="E11" s="59"/>
      <c r="F11" s="62"/>
      <c r="G11" s="63"/>
      <c r="H11" s="64"/>
      <c r="I11" s="66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02" customHeight="1" x14ac:dyDescent="0.3">
      <c r="A12" s="58" t="str">
        <f t="shared" si="0"/>
        <v/>
      </c>
      <c r="B12" s="59"/>
      <c r="C12" s="59"/>
      <c r="D12" s="59"/>
      <c r="E12" s="59"/>
      <c r="F12" s="62"/>
      <c r="G12" s="63"/>
      <c r="H12" s="64"/>
      <c r="I12" s="6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14.75" customHeight="1" x14ac:dyDescent="0.3">
      <c r="A13" s="58" t="str">
        <f t="shared" si="0"/>
        <v/>
      </c>
      <c r="B13" s="59"/>
      <c r="C13" s="59"/>
      <c r="D13" s="59"/>
      <c r="E13" s="59"/>
      <c r="F13" s="62"/>
      <c r="G13" s="63"/>
      <c r="H13" s="68"/>
      <c r="I13" s="6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14.75" customHeight="1" x14ac:dyDescent="0.3">
      <c r="A14" s="58" t="str">
        <f t="shared" si="0"/>
        <v/>
      </c>
      <c r="B14" s="59"/>
      <c r="C14" s="59"/>
      <c r="D14" s="59"/>
      <c r="E14" s="59"/>
      <c r="F14" s="62"/>
      <c r="G14" s="63"/>
      <c r="H14" s="64"/>
      <c r="I14" s="66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76.5" customHeight="1" x14ac:dyDescent="0.3">
      <c r="A15" s="58" t="str">
        <f t="shared" si="0"/>
        <v/>
      </c>
      <c r="B15" s="59"/>
      <c r="C15" s="59"/>
      <c r="D15" s="59"/>
      <c r="E15" s="59"/>
      <c r="F15" s="62"/>
      <c r="G15" s="63"/>
      <c r="H15" s="64"/>
      <c r="I15" s="6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3" customHeight="1" x14ac:dyDescent="0.3">
      <c r="A16" s="58" t="str">
        <f t="shared" si="0"/>
        <v/>
      </c>
      <c r="B16" s="59"/>
      <c r="C16" s="59"/>
      <c r="D16" s="59"/>
      <c r="E16" s="59"/>
      <c r="F16" s="62"/>
      <c r="G16" s="63"/>
      <c r="H16" s="64"/>
      <c r="I16" s="6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51" customHeight="1" x14ac:dyDescent="0.3">
      <c r="A17" s="58" t="str">
        <f t="shared" si="0"/>
        <v/>
      </c>
      <c r="B17" s="59"/>
      <c r="C17" s="59"/>
      <c r="D17" s="59"/>
      <c r="E17" s="70"/>
      <c r="F17" s="62"/>
      <c r="G17" s="63"/>
      <c r="H17" s="64"/>
      <c r="I17" s="6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58" t="str">
        <f t="shared" si="0"/>
        <v/>
      </c>
      <c r="B18" s="59"/>
      <c r="C18" s="59"/>
      <c r="D18" s="59"/>
      <c r="E18" s="70"/>
      <c r="F18" s="62"/>
      <c r="G18" s="63"/>
      <c r="H18" s="64"/>
      <c r="I18" s="6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58" t="str">
        <f t="shared" si="0"/>
        <v/>
      </c>
      <c r="B19" s="59"/>
      <c r="C19" s="59"/>
      <c r="D19" s="59"/>
      <c r="E19" s="70"/>
      <c r="F19" s="62"/>
      <c r="G19" s="63"/>
      <c r="H19" s="64"/>
      <c r="I19" s="6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58" t="str">
        <f t="shared" si="0"/>
        <v/>
      </c>
      <c r="B20" s="59"/>
      <c r="C20" s="59"/>
      <c r="D20" s="59"/>
      <c r="E20" s="70"/>
      <c r="F20" s="62"/>
      <c r="G20" s="63"/>
      <c r="H20" s="64"/>
      <c r="I20" s="6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58" t="str">
        <f t="shared" si="0"/>
        <v/>
      </c>
      <c r="B21" s="59"/>
      <c r="C21" s="59"/>
      <c r="D21" s="59"/>
      <c r="E21" s="70"/>
      <c r="F21" s="62"/>
      <c r="G21" s="63"/>
      <c r="H21" s="64"/>
      <c r="I21" s="6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58" t="str">
        <f t="shared" si="0"/>
        <v/>
      </c>
      <c r="B22" s="59"/>
      <c r="C22" s="59"/>
      <c r="D22" s="59"/>
      <c r="E22" s="70"/>
      <c r="F22" s="62"/>
      <c r="G22" s="63"/>
      <c r="H22" s="64"/>
      <c r="I22" s="6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58" t="str">
        <f t="shared" si="0"/>
        <v/>
      </c>
      <c r="B23" s="59"/>
      <c r="C23" s="59"/>
      <c r="D23" s="59"/>
      <c r="E23" s="70"/>
      <c r="F23" s="62"/>
      <c r="G23" s="63"/>
      <c r="H23" s="64"/>
      <c r="I23" s="6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58" t="str">
        <f t="shared" si="0"/>
        <v/>
      </c>
      <c r="B24" s="59"/>
      <c r="C24" s="59"/>
      <c r="D24" s="59"/>
      <c r="E24" s="70"/>
      <c r="F24" s="62"/>
      <c r="G24" s="63"/>
      <c r="H24" s="64"/>
      <c r="I24" s="6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58" t="str">
        <f t="shared" si="0"/>
        <v/>
      </c>
      <c r="B25" s="59"/>
      <c r="C25" s="59"/>
      <c r="D25" s="59"/>
      <c r="E25" s="70"/>
      <c r="F25" s="62"/>
      <c r="G25" s="63"/>
      <c r="H25" s="64"/>
      <c r="I25" s="6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58" t="str">
        <f t="shared" si="0"/>
        <v/>
      </c>
      <c r="B26" s="59"/>
      <c r="C26" s="59"/>
      <c r="D26" s="59"/>
      <c r="E26" s="70"/>
      <c r="F26" s="62"/>
      <c r="G26" s="63"/>
      <c r="H26" s="64"/>
      <c r="I26" s="6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58" t="str">
        <f t="shared" si="0"/>
        <v/>
      </c>
      <c r="B27" s="59"/>
      <c r="C27" s="59"/>
      <c r="D27" s="59"/>
      <c r="E27" s="70"/>
      <c r="F27" s="62"/>
      <c r="G27" s="63"/>
      <c r="H27" s="64"/>
      <c r="I27" s="6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58" t="str">
        <f t="shared" si="0"/>
        <v/>
      </c>
      <c r="B28" s="59"/>
      <c r="C28" s="59"/>
      <c r="D28" s="59"/>
      <c r="E28" s="70"/>
      <c r="F28" s="62"/>
      <c r="G28" s="63"/>
      <c r="H28" s="64"/>
      <c r="I28" s="6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58" t="str">
        <f t="shared" si="0"/>
        <v/>
      </c>
      <c r="B29" s="59"/>
      <c r="C29" s="59"/>
      <c r="D29" s="59"/>
      <c r="E29" s="70"/>
      <c r="F29" s="62"/>
      <c r="G29" s="63"/>
      <c r="H29" s="64"/>
      <c r="I29" s="6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58" t="str">
        <f t="shared" si="0"/>
        <v/>
      </c>
      <c r="B30" s="59"/>
      <c r="C30" s="59"/>
      <c r="D30" s="59"/>
      <c r="E30" s="70"/>
      <c r="F30" s="62"/>
      <c r="G30" s="63"/>
      <c r="H30" s="64"/>
      <c r="I30" s="6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58" t="str">
        <f t="shared" si="0"/>
        <v/>
      </c>
      <c r="B31" s="59"/>
      <c r="C31" s="59"/>
      <c r="D31" s="59"/>
      <c r="E31" s="70"/>
      <c r="F31" s="62"/>
      <c r="G31" s="63"/>
      <c r="H31" s="64"/>
      <c r="I31" s="6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58" t="str">
        <f t="shared" si="0"/>
        <v/>
      </c>
      <c r="B32" s="59"/>
      <c r="C32" s="59"/>
      <c r="D32" s="59"/>
      <c r="E32" s="70"/>
      <c r="F32" s="62"/>
      <c r="G32" s="63"/>
      <c r="H32" s="64"/>
      <c r="I32" s="6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58" t="str">
        <f t="shared" si="0"/>
        <v/>
      </c>
      <c r="B33" s="59"/>
      <c r="C33" s="59"/>
      <c r="D33" s="59"/>
      <c r="E33" s="70"/>
      <c r="F33" s="62"/>
      <c r="G33" s="63"/>
      <c r="H33" s="64"/>
      <c r="I33" s="6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58" t="str">
        <f t="shared" si="0"/>
        <v/>
      </c>
      <c r="B34" s="59"/>
      <c r="C34" s="59"/>
      <c r="D34" s="59"/>
      <c r="E34" s="70"/>
      <c r="F34" s="62"/>
      <c r="G34" s="63"/>
      <c r="H34" s="64"/>
      <c r="I34" s="6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58" t="str">
        <f t="shared" si="0"/>
        <v/>
      </c>
      <c r="B35" s="59"/>
      <c r="C35" s="59"/>
      <c r="D35" s="59"/>
      <c r="E35" s="70"/>
      <c r="F35" s="62"/>
      <c r="G35" s="63"/>
      <c r="H35" s="64"/>
      <c r="I35" s="6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58" t="str">
        <f t="shared" si="0"/>
        <v/>
      </c>
      <c r="B36" s="59"/>
      <c r="C36" s="59"/>
      <c r="D36" s="59"/>
      <c r="E36" s="70"/>
      <c r="F36" s="62"/>
      <c r="G36" s="63"/>
      <c r="H36" s="64"/>
      <c r="I36" s="6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58" t="str">
        <f t="shared" si="0"/>
        <v/>
      </c>
      <c r="B37" s="59"/>
      <c r="C37" s="59"/>
      <c r="D37" s="59"/>
      <c r="E37" s="70"/>
      <c r="F37" s="62"/>
      <c r="G37" s="63"/>
      <c r="H37" s="64"/>
      <c r="I37" s="6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58" t="str">
        <f t="shared" si="0"/>
        <v/>
      </c>
      <c r="B38" s="59"/>
      <c r="C38" s="59"/>
      <c r="D38" s="59"/>
      <c r="E38" s="70"/>
      <c r="F38" s="62"/>
      <c r="G38" s="63"/>
      <c r="H38" s="64"/>
      <c r="I38" s="6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58" t="str">
        <f t="shared" si="0"/>
        <v/>
      </c>
      <c r="B39" s="59"/>
      <c r="C39" s="59"/>
      <c r="D39" s="59"/>
      <c r="E39" s="70"/>
      <c r="F39" s="62"/>
      <c r="G39" s="63"/>
      <c r="H39" s="64"/>
      <c r="I39" s="6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58" t="str">
        <f t="shared" si="0"/>
        <v/>
      </c>
      <c r="B40" s="59"/>
      <c r="C40" s="59"/>
      <c r="D40" s="59"/>
      <c r="E40" s="70"/>
      <c r="F40" s="62"/>
      <c r="G40" s="63"/>
      <c r="H40" s="64"/>
      <c r="I40" s="6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58" t="str">
        <f t="shared" ref="A41:A72" si="1">IF(OR(B41&lt;&gt;"",D41&lt;&gt;""),"["&amp;$B$2&amp;"-"&amp;(ROW()-8)&amp;"]","")</f>
        <v/>
      </c>
      <c r="B41" s="59"/>
      <c r="C41" s="59"/>
      <c r="D41" s="59"/>
      <c r="E41" s="70"/>
      <c r="F41" s="62"/>
      <c r="G41" s="63"/>
      <c r="H41" s="64"/>
      <c r="I41" s="6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58" t="str">
        <f t="shared" si="1"/>
        <v/>
      </c>
      <c r="B42" s="59"/>
      <c r="C42" s="59"/>
      <c r="D42" s="59"/>
      <c r="E42" s="70"/>
      <c r="F42" s="62"/>
      <c r="G42" s="63"/>
      <c r="H42" s="64"/>
      <c r="I42" s="6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58" t="str">
        <f t="shared" si="1"/>
        <v/>
      </c>
      <c r="B43" s="59"/>
      <c r="C43" s="59"/>
      <c r="D43" s="59"/>
      <c r="E43" s="70"/>
      <c r="F43" s="62"/>
      <c r="G43" s="63"/>
      <c r="H43" s="64"/>
      <c r="I43" s="6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58" t="str">
        <f t="shared" si="1"/>
        <v/>
      </c>
      <c r="B44" s="59"/>
      <c r="C44" s="59"/>
      <c r="D44" s="59"/>
      <c r="E44" s="70"/>
      <c r="F44" s="62"/>
      <c r="G44" s="63"/>
      <c r="H44" s="64"/>
      <c r="I44" s="69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58" t="str">
        <f t="shared" si="1"/>
        <v/>
      </c>
      <c r="B45" s="59"/>
      <c r="C45" s="59"/>
      <c r="D45" s="59"/>
      <c r="E45" s="70"/>
      <c r="F45" s="62"/>
      <c r="G45" s="63"/>
      <c r="H45" s="64"/>
      <c r="I45" s="6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58" t="str">
        <f t="shared" si="1"/>
        <v/>
      </c>
      <c r="B46" s="59"/>
      <c r="C46" s="59"/>
      <c r="D46" s="59"/>
      <c r="E46" s="70"/>
      <c r="F46" s="62"/>
      <c r="G46" s="63"/>
      <c r="H46" s="64"/>
      <c r="I46" s="6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58" t="str">
        <f t="shared" si="1"/>
        <v/>
      </c>
      <c r="B47" s="59"/>
      <c r="C47" s="59"/>
      <c r="D47" s="59"/>
      <c r="E47" s="70"/>
      <c r="F47" s="62"/>
      <c r="G47" s="63"/>
      <c r="H47" s="64"/>
      <c r="I47" s="6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58" t="str">
        <f t="shared" si="1"/>
        <v/>
      </c>
      <c r="B48" s="59"/>
      <c r="C48" s="59"/>
      <c r="D48" s="59"/>
      <c r="E48" s="70"/>
      <c r="F48" s="62"/>
      <c r="G48" s="63"/>
      <c r="H48" s="64"/>
      <c r="I48" s="69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58" t="str">
        <f t="shared" si="1"/>
        <v/>
      </c>
      <c r="B49" s="59"/>
      <c r="C49" s="59"/>
      <c r="D49" s="59"/>
      <c r="E49" s="70"/>
      <c r="F49" s="62"/>
      <c r="G49" s="63"/>
      <c r="H49" s="64"/>
      <c r="I49" s="69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58" t="str">
        <f t="shared" si="1"/>
        <v/>
      </c>
      <c r="B50" s="59"/>
      <c r="C50" s="59"/>
      <c r="D50" s="59"/>
      <c r="E50" s="70"/>
      <c r="F50" s="62"/>
      <c r="G50" s="63"/>
      <c r="H50" s="64"/>
      <c r="I50" s="69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58" t="str">
        <f t="shared" si="1"/>
        <v/>
      </c>
      <c r="B51" s="59"/>
      <c r="C51" s="59"/>
      <c r="D51" s="59"/>
      <c r="E51" s="70"/>
      <c r="F51" s="62"/>
      <c r="G51" s="63"/>
      <c r="H51" s="64"/>
      <c r="I51" s="69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58" t="str">
        <f t="shared" si="1"/>
        <v/>
      </c>
      <c r="B52" s="59"/>
      <c r="C52" s="59"/>
      <c r="D52" s="59"/>
      <c r="E52" s="70"/>
      <c r="F52" s="62"/>
      <c r="G52" s="63"/>
      <c r="H52" s="64"/>
      <c r="I52" s="69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58" t="str">
        <f t="shared" si="1"/>
        <v/>
      </c>
      <c r="B53" s="59"/>
      <c r="C53" s="59"/>
      <c r="D53" s="59"/>
      <c r="E53" s="70"/>
      <c r="F53" s="62"/>
      <c r="G53" s="63"/>
      <c r="H53" s="64"/>
      <c r="I53" s="6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58" t="str">
        <f t="shared" si="1"/>
        <v/>
      </c>
      <c r="B54" s="59"/>
      <c r="C54" s="59"/>
      <c r="D54" s="59"/>
      <c r="E54" s="70"/>
      <c r="F54" s="62"/>
      <c r="G54" s="63"/>
      <c r="H54" s="64"/>
      <c r="I54" s="69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58" t="str">
        <f t="shared" si="1"/>
        <v/>
      </c>
      <c r="B55" s="59"/>
      <c r="C55" s="59"/>
      <c r="D55" s="59"/>
      <c r="E55" s="70"/>
      <c r="F55" s="62"/>
      <c r="G55" s="63"/>
      <c r="H55" s="64"/>
      <c r="I55" s="69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58" t="str">
        <f t="shared" si="1"/>
        <v/>
      </c>
      <c r="B56" s="59"/>
      <c r="C56" s="59"/>
      <c r="D56" s="59"/>
      <c r="E56" s="70"/>
      <c r="F56" s="62"/>
      <c r="G56" s="63"/>
      <c r="H56" s="64"/>
      <c r="I56" s="69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58" t="str">
        <f t="shared" si="1"/>
        <v/>
      </c>
      <c r="B57" s="59"/>
      <c r="C57" s="59"/>
      <c r="D57" s="59"/>
      <c r="E57" s="70"/>
      <c r="F57" s="62"/>
      <c r="G57" s="63"/>
      <c r="H57" s="64"/>
      <c r="I57" s="69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58" t="str">
        <f t="shared" si="1"/>
        <v/>
      </c>
      <c r="B58" s="59"/>
      <c r="C58" s="59"/>
      <c r="D58" s="59"/>
      <c r="E58" s="70"/>
      <c r="F58" s="62"/>
      <c r="G58" s="63"/>
      <c r="H58" s="64"/>
      <c r="I58" s="6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58" t="str">
        <f t="shared" si="1"/>
        <v/>
      </c>
      <c r="B59" s="59"/>
      <c r="C59" s="59"/>
      <c r="D59" s="59"/>
      <c r="E59" s="70"/>
      <c r="F59" s="62"/>
      <c r="G59" s="63"/>
      <c r="H59" s="64"/>
      <c r="I59" s="69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58" t="str">
        <f t="shared" si="1"/>
        <v/>
      </c>
      <c r="B60" s="59"/>
      <c r="C60" s="59"/>
      <c r="D60" s="59"/>
      <c r="E60" s="70"/>
      <c r="F60" s="62"/>
      <c r="G60" s="63"/>
      <c r="H60" s="64"/>
      <c r="I60" s="6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58" t="str">
        <f t="shared" si="1"/>
        <v/>
      </c>
      <c r="B61" s="59"/>
      <c r="C61" s="59"/>
      <c r="D61" s="59"/>
      <c r="E61" s="70"/>
      <c r="F61" s="62"/>
      <c r="G61" s="63"/>
      <c r="H61" s="64"/>
      <c r="I61" s="69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58" t="str">
        <f t="shared" si="1"/>
        <v/>
      </c>
      <c r="B62" s="59"/>
      <c r="C62" s="59"/>
      <c r="D62" s="59"/>
      <c r="E62" s="70"/>
      <c r="F62" s="62"/>
      <c r="G62" s="63"/>
      <c r="H62" s="64"/>
      <c r="I62" s="69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58" t="str">
        <f t="shared" si="1"/>
        <v/>
      </c>
      <c r="B63" s="59"/>
      <c r="C63" s="59"/>
      <c r="D63" s="59"/>
      <c r="E63" s="70"/>
      <c r="F63" s="62"/>
      <c r="G63" s="63"/>
      <c r="H63" s="64"/>
      <c r="I63" s="69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58" t="str">
        <f t="shared" si="1"/>
        <v/>
      </c>
      <c r="B64" s="59"/>
      <c r="C64" s="59"/>
      <c r="D64" s="59"/>
      <c r="E64" s="70"/>
      <c r="F64" s="62"/>
      <c r="G64" s="63"/>
      <c r="H64" s="64"/>
      <c r="I64" s="69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58" t="str">
        <f t="shared" si="1"/>
        <v/>
      </c>
      <c r="B65" s="59"/>
      <c r="C65" s="59"/>
      <c r="D65" s="59"/>
      <c r="E65" s="70"/>
      <c r="F65" s="62"/>
      <c r="G65" s="63"/>
      <c r="H65" s="64"/>
      <c r="I65" s="6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58" t="str">
        <f t="shared" si="1"/>
        <v/>
      </c>
      <c r="B66" s="59"/>
      <c r="C66" s="59"/>
      <c r="D66" s="59"/>
      <c r="E66" s="70"/>
      <c r="F66" s="62"/>
      <c r="G66" s="63"/>
      <c r="H66" s="64"/>
      <c r="I66" s="69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58" t="str">
        <f t="shared" si="1"/>
        <v/>
      </c>
      <c r="B67" s="59"/>
      <c r="C67" s="59"/>
      <c r="D67" s="59"/>
      <c r="E67" s="70"/>
      <c r="F67" s="62"/>
      <c r="G67" s="63"/>
      <c r="H67" s="64"/>
      <c r="I67" s="6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58" t="str">
        <f t="shared" si="1"/>
        <v/>
      </c>
      <c r="B68" s="59"/>
      <c r="C68" s="59"/>
      <c r="D68" s="59"/>
      <c r="E68" s="70"/>
      <c r="F68" s="62"/>
      <c r="G68" s="63"/>
      <c r="H68" s="64"/>
      <c r="I68" s="69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58" t="str">
        <f t="shared" si="1"/>
        <v/>
      </c>
      <c r="B69" s="59"/>
      <c r="C69" s="59"/>
      <c r="D69" s="59"/>
      <c r="E69" s="70"/>
      <c r="F69" s="62"/>
      <c r="G69" s="63"/>
      <c r="H69" s="64"/>
      <c r="I69" s="6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58" t="str">
        <f t="shared" si="1"/>
        <v/>
      </c>
      <c r="B70" s="59"/>
      <c r="C70" s="59"/>
      <c r="D70" s="59"/>
      <c r="E70" s="70"/>
      <c r="F70" s="62"/>
      <c r="G70" s="63"/>
      <c r="H70" s="64"/>
      <c r="I70" s="6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58" t="str">
        <f t="shared" si="1"/>
        <v/>
      </c>
      <c r="B71" s="59"/>
      <c r="C71" s="59"/>
      <c r="D71" s="59"/>
      <c r="E71" s="70"/>
      <c r="F71" s="62"/>
      <c r="G71" s="63"/>
      <c r="H71" s="64"/>
      <c r="I71" s="69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58" t="str">
        <f t="shared" si="1"/>
        <v/>
      </c>
      <c r="B72" s="59"/>
      <c r="C72" s="59"/>
      <c r="D72" s="59"/>
      <c r="E72" s="70"/>
      <c r="F72" s="62"/>
      <c r="G72" s="63"/>
      <c r="H72" s="64"/>
      <c r="I72" s="69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58" t="str">
        <f t="shared" ref="A73:A104" si="2">IF(OR(B73&lt;&gt;"",D73&lt;&gt;""),"["&amp;$B$2&amp;"-"&amp;(ROW()-8)&amp;"]","")</f>
        <v/>
      </c>
      <c r="B73" s="59"/>
      <c r="C73" s="59"/>
      <c r="D73" s="59"/>
      <c r="E73" s="70"/>
      <c r="F73" s="62"/>
      <c r="G73" s="63"/>
      <c r="H73" s="64"/>
      <c r="I73" s="69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58" t="str">
        <f t="shared" si="2"/>
        <v/>
      </c>
      <c r="B74" s="59"/>
      <c r="C74" s="59"/>
      <c r="D74" s="59"/>
      <c r="E74" s="70"/>
      <c r="F74" s="62"/>
      <c r="G74" s="63"/>
      <c r="H74" s="64"/>
      <c r="I74" s="69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58" t="str">
        <f t="shared" si="2"/>
        <v/>
      </c>
      <c r="B75" s="59"/>
      <c r="C75" s="59"/>
      <c r="D75" s="59"/>
      <c r="E75" s="70"/>
      <c r="F75" s="62"/>
      <c r="G75" s="63"/>
      <c r="H75" s="64"/>
      <c r="I75" s="69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58" t="str">
        <f t="shared" si="2"/>
        <v/>
      </c>
      <c r="B76" s="59"/>
      <c r="C76" s="59"/>
      <c r="D76" s="59"/>
      <c r="E76" s="70"/>
      <c r="F76" s="62"/>
      <c r="G76" s="63"/>
      <c r="H76" s="64"/>
      <c r="I76" s="69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58" t="str">
        <f t="shared" si="2"/>
        <v/>
      </c>
      <c r="B77" s="59"/>
      <c r="C77" s="59"/>
      <c r="D77" s="59"/>
      <c r="E77" s="70"/>
      <c r="F77" s="62"/>
      <c r="G77" s="63"/>
      <c r="H77" s="64"/>
      <c r="I77" s="69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58" t="str">
        <f t="shared" si="2"/>
        <v/>
      </c>
      <c r="B78" s="59"/>
      <c r="C78" s="59"/>
      <c r="D78" s="59"/>
      <c r="E78" s="70"/>
      <c r="F78" s="62"/>
      <c r="G78" s="63"/>
      <c r="H78" s="64"/>
      <c r="I78" s="69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58" t="str">
        <f t="shared" si="2"/>
        <v/>
      </c>
      <c r="B79" s="59"/>
      <c r="C79" s="59"/>
      <c r="D79" s="59"/>
      <c r="E79" s="70"/>
      <c r="F79" s="62"/>
      <c r="G79" s="63"/>
      <c r="H79" s="64"/>
      <c r="I79" s="69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58" t="str">
        <f t="shared" si="2"/>
        <v/>
      </c>
      <c r="B80" s="59"/>
      <c r="C80" s="59"/>
      <c r="D80" s="59"/>
      <c r="E80" s="70"/>
      <c r="F80" s="62"/>
      <c r="G80" s="63"/>
      <c r="H80" s="64"/>
      <c r="I80" s="69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58" t="str">
        <f t="shared" si="2"/>
        <v/>
      </c>
      <c r="B81" s="59"/>
      <c r="C81" s="59"/>
      <c r="D81" s="59"/>
      <c r="E81" s="70"/>
      <c r="F81" s="62"/>
      <c r="G81" s="63"/>
      <c r="H81" s="64"/>
      <c r="I81" s="69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58" t="str">
        <f t="shared" si="2"/>
        <v/>
      </c>
      <c r="B82" s="59"/>
      <c r="C82" s="59"/>
      <c r="D82" s="59"/>
      <c r="E82" s="70"/>
      <c r="F82" s="62"/>
      <c r="G82" s="63"/>
      <c r="H82" s="64"/>
      <c r="I82" s="69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58" t="str">
        <f t="shared" si="2"/>
        <v/>
      </c>
      <c r="B83" s="59"/>
      <c r="C83" s="59"/>
      <c r="D83" s="59"/>
      <c r="E83" s="70"/>
      <c r="F83" s="62"/>
      <c r="G83" s="63"/>
      <c r="H83" s="64"/>
      <c r="I83" s="69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58" t="str">
        <f t="shared" si="2"/>
        <v/>
      </c>
      <c r="B84" s="59"/>
      <c r="C84" s="59"/>
      <c r="D84" s="59"/>
      <c r="E84" s="70"/>
      <c r="F84" s="62"/>
      <c r="G84" s="63"/>
      <c r="H84" s="64"/>
      <c r="I84" s="69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58" t="str">
        <f t="shared" si="2"/>
        <v/>
      </c>
      <c r="B85" s="59"/>
      <c r="C85" s="59"/>
      <c r="D85" s="59"/>
      <c r="E85" s="70"/>
      <c r="F85" s="62"/>
      <c r="G85" s="63"/>
      <c r="H85" s="64"/>
      <c r="I85" s="69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58" t="str">
        <f t="shared" si="2"/>
        <v/>
      </c>
      <c r="B86" s="59"/>
      <c r="C86" s="59"/>
      <c r="D86" s="59"/>
      <c r="E86" s="70"/>
      <c r="F86" s="62"/>
      <c r="G86" s="63"/>
      <c r="H86" s="64"/>
      <c r="I86" s="69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58" t="str">
        <f t="shared" si="2"/>
        <v/>
      </c>
      <c r="B87" s="59"/>
      <c r="C87" s="59"/>
      <c r="D87" s="59"/>
      <c r="E87" s="70"/>
      <c r="F87" s="62"/>
      <c r="G87" s="63"/>
      <c r="H87" s="64"/>
      <c r="I87" s="69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58" t="str">
        <f t="shared" si="2"/>
        <v/>
      </c>
      <c r="B88" s="59"/>
      <c r="C88" s="59"/>
      <c r="D88" s="59"/>
      <c r="E88" s="70"/>
      <c r="F88" s="62"/>
      <c r="G88" s="63"/>
      <c r="H88" s="64"/>
      <c r="I88" s="69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58" t="str">
        <f t="shared" si="2"/>
        <v/>
      </c>
      <c r="B89" s="59"/>
      <c r="C89" s="59"/>
      <c r="D89" s="59"/>
      <c r="E89" s="70"/>
      <c r="F89" s="62"/>
      <c r="G89" s="63"/>
      <c r="H89" s="64"/>
      <c r="I89" s="69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58" t="str">
        <f t="shared" si="2"/>
        <v/>
      </c>
      <c r="B90" s="59"/>
      <c r="C90" s="59"/>
      <c r="D90" s="59"/>
      <c r="E90" s="70"/>
      <c r="F90" s="62"/>
      <c r="G90" s="63"/>
      <c r="H90" s="64"/>
      <c r="I90" s="69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58" t="str">
        <f t="shared" si="2"/>
        <v/>
      </c>
      <c r="B91" s="59"/>
      <c r="C91" s="59"/>
      <c r="D91" s="59"/>
      <c r="E91" s="70"/>
      <c r="F91" s="62"/>
      <c r="G91" s="63"/>
      <c r="H91" s="64"/>
      <c r="I91" s="69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58" t="str">
        <f t="shared" si="2"/>
        <v/>
      </c>
      <c r="B92" s="59"/>
      <c r="C92" s="59"/>
      <c r="D92" s="59"/>
      <c r="E92" s="70"/>
      <c r="F92" s="62"/>
      <c r="G92" s="63"/>
      <c r="H92" s="64"/>
      <c r="I92" s="69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58" t="str">
        <f t="shared" si="2"/>
        <v/>
      </c>
      <c r="B93" s="59"/>
      <c r="C93" s="59"/>
      <c r="D93" s="59"/>
      <c r="E93" s="70"/>
      <c r="F93" s="62"/>
      <c r="G93" s="63"/>
      <c r="H93" s="64"/>
      <c r="I93" s="69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58" t="str">
        <f t="shared" si="2"/>
        <v/>
      </c>
      <c r="B94" s="59"/>
      <c r="C94" s="59"/>
      <c r="D94" s="59"/>
      <c r="E94" s="70"/>
      <c r="F94" s="62"/>
      <c r="G94" s="63"/>
      <c r="H94" s="64"/>
      <c r="I94" s="69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58" t="str">
        <f t="shared" si="2"/>
        <v/>
      </c>
      <c r="B95" s="59"/>
      <c r="C95" s="59"/>
      <c r="D95" s="59"/>
      <c r="E95" s="70"/>
      <c r="F95" s="62"/>
      <c r="G95" s="63"/>
      <c r="H95" s="64"/>
      <c r="I95" s="6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58" t="str">
        <f t="shared" si="2"/>
        <v/>
      </c>
      <c r="B96" s="59"/>
      <c r="C96" s="59"/>
      <c r="D96" s="59"/>
      <c r="E96" s="70"/>
      <c r="F96" s="62"/>
      <c r="G96" s="63"/>
      <c r="H96" s="64"/>
      <c r="I96" s="69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58" t="str">
        <f t="shared" si="2"/>
        <v/>
      </c>
      <c r="B97" s="59"/>
      <c r="C97" s="59"/>
      <c r="D97" s="59"/>
      <c r="E97" s="70"/>
      <c r="F97" s="62"/>
      <c r="G97" s="63"/>
      <c r="H97" s="64"/>
      <c r="I97" s="6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58" t="str">
        <f t="shared" si="2"/>
        <v/>
      </c>
      <c r="B98" s="59"/>
      <c r="C98" s="59"/>
      <c r="D98" s="59"/>
      <c r="E98" s="70"/>
      <c r="F98" s="62"/>
      <c r="G98" s="63"/>
      <c r="H98" s="64"/>
      <c r="I98" s="69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58" t="str">
        <f t="shared" si="2"/>
        <v/>
      </c>
      <c r="B99" s="59"/>
      <c r="C99" s="59"/>
      <c r="D99" s="59"/>
      <c r="E99" s="70"/>
      <c r="F99" s="62"/>
      <c r="G99" s="63"/>
      <c r="H99" s="64"/>
      <c r="I99" s="69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58" t="str">
        <f t="shared" si="2"/>
        <v/>
      </c>
      <c r="B100" s="59"/>
      <c r="C100" s="59"/>
      <c r="D100" s="59"/>
      <c r="E100" s="70"/>
      <c r="F100" s="62"/>
      <c r="G100" s="63"/>
      <c r="H100" s="64"/>
      <c r="I100" s="69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58" t="str">
        <f t="shared" ref="A101:A108" si="3">IF(OR(B101&lt;&gt;"",D101&lt;&gt;""),"["&amp;TEXT($B$2,"##")&amp;"-"&amp;TEXT(ROW()-8,"##")&amp;"]","")</f>
        <v/>
      </c>
      <c r="B101" s="59"/>
      <c r="C101" s="59"/>
      <c r="D101" s="59"/>
      <c r="E101" s="70"/>
      <c r="F101" s="62"/>
      <c r="G101" s="63"/>
      <c r="H101" s="64"/>
      <c r="I101" s="69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58" t="str">
        <f t="shared" si="3"/>
        <v/>
      </c>
      <c r="B102" s="59"/>
      <c r="C102" s="59"/>
      <c r="D102" s="59"/>
      <c r="E102" s="70"/>
      <c r="F102" s="62"/>
      <c r="G102" s="63"/>
      <c r="H102" s="64"/>
      <c r="I102" s="69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58" t="str">
        <f t="shared" si="3"/>
        <v/>
      </c>
      <c r="B103" s="59"/>
      <c r="C103" s="59"/>
      <c r="D103" s="59"/>
      <c r="E103" s="70"/>
      <c r="F103" s="62"/>
      <c r="G103" s="63"/>
      <c r="H103" s="64"/>
      <c r="I103" s="69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58" t="str">
        <f t="shared" si="3"/>
        <v/>
      </c>
      <c r="B104" s="59"/>
      <c r="C104" s="59"/>
      <c r="D104" s="59"/>
      <c r="E104" s="70"/>
      <c r="F104" s="62"/>
      <c r="G104" s="63"/>
      <c r="H104" s="64"/>
      <c r="I104" s="69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58" t="str">
        <f t="shared" si="3"/>
        <v/>
      </c>
      <c r="B105" s="59"/>
      <c r="C105" s="59"/>
      <c r="D105" s="59"/>
      <c r="E105" s="70"/>
      <c r="F105" s="62"/>
      <c r="G105" s="63"/>
      <c r="H105" s="64"/>
      <c r="I105" s="69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58" t="str">
        <f t="shared" si="3"/>
        <v/>
      </c>
      <c r="B106" s="59"/>
      <c r="C106" s="59"/>
      <c r="D106" s="59"/>
      <c r="E106" s="70"/>
      <c r="F106" s="62"/>
      <c r="G106" s="63"/>
      <c r="H106" s="64"/>
      <c r="I106" s="69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58" t="str">
        <f t="shared" si="3"/>
        <v/>
      </c>
      <c r="B107" s="59"/>
      <c r="C107" s="59"/>
      <c r="D107" s="59"/>
      <c r="E107" s="70"/>
      <c r="F107" s="62"/>
      <c r="G107" s="63"/>
      <c r="H107" s="64"/>
      <c r="I107" s="69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58" t="str">
        <f t="shared" si="3"/>
        <v/>
      </c>
      <c r="B108" s="59"/>
      <c r="C108" s="59"/>
      <c r="D108" s="59"/>
      <c r="E108" s="70"/>
      <c r="F108" s="62"/>
      <c r="G108" s="63"/>
      <c r="H108" s="64"/>
      <c r="I108" s="69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69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69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69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69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69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69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69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69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69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69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69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69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69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69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69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69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69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69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69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69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69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69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69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69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69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69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69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69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69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69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69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69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69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69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69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69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69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69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69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69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69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69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69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69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69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69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69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69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69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69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69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69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69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69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69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69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69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69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69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69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69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69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69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69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69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69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69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69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69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69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69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69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69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69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69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69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69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69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69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69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69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69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69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69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69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69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69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69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69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69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69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69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69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69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69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69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69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69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69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69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69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69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69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69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69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69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69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69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69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69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69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69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69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69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69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69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69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69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69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69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69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69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69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69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69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69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69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69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69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69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69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69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69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69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69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69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69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69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69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69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69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69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69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69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69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69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69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69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69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69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69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69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69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69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69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69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69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69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69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69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69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69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69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69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69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69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69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69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69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69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69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69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69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69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69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69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69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69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69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69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69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69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69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69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69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69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69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69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69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69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69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69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69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69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69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69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69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69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69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69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4.25" customHeight="1" x14ac:dyDescent="0.3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4.25" customHeight="1" x14ac:dyDescent="0.3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4.25" customHeight="1" x14ac:dyDescent="0.3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4.25" customHeight="1" x14ac:dyDescent="0.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4.25" customHeight="1" x14ac:dyDescent="0.3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4.25" customHeight="1" x14ac:dyDescent="0.3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4.25" customHeight="1" x14ac:dyDescent="0.3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4.25" customHeight="1" x14ac:dyDescent="0.3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4.25" customHeight="1" x14ac:dyDescent="0.3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4.25" customHeight="1" x14ac:dyDescent="0.3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4.25" customHeight="1" x14ac:dyDescent="0.3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4.25" customHeight="1" x14ac:dyDescent="0.3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4.25" customHeight="1" x14ac:dyDescent="0.3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4.25" customHeight="1" x14ac:dyDescent="0.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4.25" customHeight="1" x14ac:dyDescent="0.3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4.25" customHeight="1" x14ac:dyDescent="0.3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4.25" customHeight="1" x14ac:dyDescent="0.3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4.25" customHeight="1" x14ac:dyDescent="0.3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4.25" customHeight="1" x14ac:dyDescent="0.3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4.25" customHeight="1" x14ac:dyDescent="0.3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4.25" customHeight="1" x14ac:dyDescent="0.3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4.25" customHeight="1" x14ac:dyDescent="0.3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4.25" customHeight="1" x14ac:dyDescent="0.3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4.25" customHeight="1" x14ac:dyDescent="0.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4.25" customHeight="1" x14ac:dyDescent="0.3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4.25" customHeight="1" x14ac:dyDescent="0.3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4.25" customHeight="1" x14ac:dyDescent="0.3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4.25" customHeight="1" x14ac:dyDescent="0.3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4.25" customHeight="1" x14ac:dyDescent="0.3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4.25" customHeight="1" x14ac:dyDescent="0.3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4.25" customHeight="1" x14ac:dyDescent="0.3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4.25" customHeight="1" x14ac:dyDescent="0.3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4.25" customHeight="1" x14ac:dyDescent="0.3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4.25" customHeight="1" x14ac:dyDescent="0.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4.25" customHeight="1" x14ac:dyDescent="0.3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4.25" customHeight="1" x14ac:dyDescent="0.3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4.25" customHeight="1" x14ac:dyDescent="0.3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4.25" customHeight="1" x14ac:dyDescent="0.3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4.25" customHeight="1" x14ac:dyDescent="0.3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4.25" customHeight="1" x14ac:dyDescent="0.3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4.25" customHeight="1" x14ac:dyDescent="0.3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4.25" customHeight="1" x14ac:dyDescent="0.3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4.25" customHeight="1" x14ac:dyDescent="0.3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4.25" customHeight="1" x14ac:dyDescent="0.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4.25" customHeight="1" x14ac:dyDescent="0.3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4.25" customHeight="1" x14ac:dyDescent="0.3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4.25" customHeight="1" x14ac:dyDescent="0.3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4.25" customHeight="1" x14ac:dyDescent="0.3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4.25" customHeight="1" x14ac:dyDescent="0.3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4.25" customHeight="1" x14ac:dyDescent="0.3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4.25" customHeight="1" x14ac:dyDescent="0.3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4.25" customHeight="1" x14ac:dyDescent="0.3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4.25" customHeight="1" x14ac:dyDescent="0.3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4.25" customHeight="1" x14ac:dyDescent="0.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4.25" customHeight="1" x14ac:dyDescent="0.3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4.25" customHeight="1" x14ac:dyDescent="0.3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4.25" customHeight="1" x14ac:dyDescent="0.3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4.25" customHeight="1" x14ac:dyDescent="0.3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4.25" customHeight="1" x14ac:dyDescent="0.3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4.25" customHeight="1" x14ac:dyDescent="0.3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4.25" customHeight="1" x14ac:dyDescent="0.3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4.25" customHeight="1" x14ac:dyDescent="0.3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4.25" customHeight="1" x14ac:dyDescent="0.3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4.25" customHeight="1" x14ac:dyDescent="0.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4.25" customHeight="1" x14ac:dyDescent="0.3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4.25" customHeight="1" x14ac:dyDescent="0.3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4.25" customHeight="1" x14ac:dyDescent="0.3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4.25" customHeight="1" x14ac:dyDescent="0.3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4.25" customHeight="1" x14ac:dyDescent="0.3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4.25" customHeight="1" x14ac:dyDescent="0.3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4.25" customHeight="1" x14ac:dyDescent="0.3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4.25" customHeight="1" x14ac:dyDescent="0.3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4.25" customHeight="1" x14ac:dyDescent="0.3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4.25" customHeight="1" x14ac:dyDescent="0.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4.25" customHeight="1" x14ac:dyDescent="0.3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4.25" customHeight="1" x14ac:dyDescent="0.3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4.25" customHeight="1" x14ac:dyDescent="0.3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4.25" customHeight="1" x14ac:dyDescent="0.3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4.25" customHeight="1" x14ac:dyDescent="0.3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4.25" customHeight="1" x14ac:dyDescent="0.3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4.25" customHeight="1" x14ac:dyDescent="0.3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4.25" customHeight="1" x14ac:dyDescent="0.3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4.25" customHeight="1" x14ac:dyDescent="0.3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4.25" customHeight="1" x14ac:dyDescent="0.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4.25" customHeight="1" x14ac:dyDescent="0.3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4.25" customHeight="1" x14ac:dyDescent="0.3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4.25" customHeight="1" x14ac:dyDescent="0.3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4.25" customHeight="1" x14ac:dyDescent="0.3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4.25" customHeight="1" x14ac:dyDescent="0.3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4.25" customHeight="1" x14ac:dyDescent="0.3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4.25" customHeight="1" x14ac:dyDescent="0.3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4.25" customHeight="1" x14ac:dyDescent="0.3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4.25" customHeight="1" x14ac:dyDescent="0.3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4.25" customHeight="1" x14ac:dyDescent="0.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4.25" customHeight="1" x14ac:dyDescent="0.3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4.25" customHeight="1" x14ac:dyDescent="0.3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4.25" customHeight="1" x14ac:dyDescent="0.3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4.25" customHeight="1" x14ac:dyDescent="0.3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4.25" customHeight="1" x14ac:dyDescent="0.3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4.25" customHeight="1" x14ac:dyDescent="0.3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4.25" customHeight="1" x14ac:dyDescent="0.3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4.25" customHeight="1" x14ac:dyDescent="0.3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4.25" customHeight="1" x14ac:dyDescent="0.3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4.25" customHeight="1" x14ac:dyDescent="0.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4.25" customHeight="1" x14ac:dyDescent="0.3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4.25" customHeight="1" x14ac:dyDescent="0.3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4.25" customHeight="1" x14ac:dyDescent="0.3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4.25" customHeight="1" x14ac:dyDescent="0.3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4.25" customHeight="1" x14ac:dyDescent="0.3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4.25" customHeight="1" x14ac:dyDescent="0.3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4.25" customHeight="1" x14ac:dyDescent="0.3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4.25" customHeight="1" x14ac:dyDescent="0.3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4.25" customHeight="1" x14ac:dyDescent="0.3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4.25" customHeight="1" x14ac:dyDescent="0.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4.25" customHeight="1" x14ac:dyDescent="0.3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4.25" customHeight="1" x14ac:dyDescent="0.3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4.25" customHeight="1" x14ac:dyDescent="0.3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4.25" customHeight="1" x14ac:dyDescent="0.3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4.25" customHeight="1" x14ac:dyDescent="0.3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4.25" customHeight="1" x14ac:dyDescent="0.3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4.25" customHeight="1" x14ac:dyDescent="0.3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4.25" customHeight="1" x14ac:dyDescent="0.3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4.25" customHeight="1" x14ac:dyDescent="0.3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4.25" customHeight="1" x14ac:dyDescent="0.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4.25" customHeight="1" x14ac:dyDescent="0.3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4.25" customHeight="1" x14ac:dyDescent="0.3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4.25" customHeight="1" x14ac:dyDescent="0.3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4.25" customHeight="1" x14ac:dyDescent="0.3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4.25" customHeight="1" x14ac:dyDescent="0.3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4.25" customHeight="1" x14ac:dyDescent="0.3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4.25" customHeight="1" x14ac:dyDescent="0.3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4.25" customHeight="1" x14ac:dyDescent="0.3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4.25" customHeight="1" x14ac:dyDescent="0.3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4.25" customHeight="1" x14ac:dyDescent="0.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4.25" customHeight="1" x14ac:dyDescent="0.3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4.25" customHeight="1" x14ac:dyDescent="0.3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4.25" customHeight="1" x14ac:dyDescent="0.3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4.25" customHeight="1" x14ac:dyDescent="0.3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4.25" customHeight="1" x14ac:dyDescent="0.3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4.25" customHeight="1" x14ac:dyDescent="0.3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4.25" customHeight="1" x14ac:dyDescent="0.3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4.25" customHeight="1" x14ac:dyDescent="0.3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4.25" customHeight="1" x14ac:dyDescent="0.3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4.25" customHeight="1" x14ac:dyDescent="0.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4.25" customHeight="1" x14ac:dyDescent="0.3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4.25" customHeight="1" x14ac:dyDescent="0.3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4.25" customHeight="1" x14ac:dyDescent="0.3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4.25" customHeight="1" x14ac:dyDescent="0.3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4.25" customHeight="1" x14ac:dyDescent="0.3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4.25" customHeight="1" x14ac:dyDescent="0.3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4.25" customHeight="1" x14ac:dyDescent="0.3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4.25" customHeight="1" x14ac:dyDescent="0.3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4.25" customHeight="1" x14ac:dyDescent="0.3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4.25" customHeight="1" x14ac:dyDescent="0.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4.25" customHeight="1" x14ac:dyDescent="0.3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4.25" customHeight="1" x14ac:dyDescent="0.3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4.25" customHeight="1" x14ac:dyDescent="0.3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4.25" customHeight="1" x14ac:dyDescent="0.3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4.25" customHeight="1" x14ac:dyDescent="0.3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4.25" customHeight="1" x14ac:dyDescent="0.3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4.25" customHeight="1" x14ac:dyDescent="0.3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4.25" customHeight="1" x14ac:dyDescent="0.3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4.25" customHeight="1" x14ac:dyDescent="0.3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4.25" customHeight="1" x14ac:dyDescent="0.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4.25" customHeight="1" x14ac:dyDescent="0.3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4.25" customHeight="1" x14ac:dyDescent="0.3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4.25" customHeight="1" x14ac:dyDescent="0.3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4.25" customHeight="1" x14ac:dyDescent="0.3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4.25" customHeight="1" x14ac:dyDescent="0.3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4.25" customHeight="1" x14ac:dyDescent="0.3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4.25" customHeight="1" x14ac:dyDescent="0.3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4.25" customHeight="1" x14ac:dyDescent="0.3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4.25" customHeight="1" x14ac:dyDescent="0.3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4.25" customHeight="1" x14ac:dyDescent="0.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4.25" customHeight="1" x14ac:dyDescent="0.3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4.25" customHeight="1" x14ac:dyDescent="0.3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4.25" customHeight="1" x14ac:dyDescent="0.3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4.25" customHeight="1" x14ac:dyDescent="0.3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4.25" customHeight="1" x14ac:dyDescent="0.3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4.25" customHeight="1" x14ac:dyDescent="0.3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4.25" customHeight="1" x14ac:dyDescent="0.3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4.25" customHeight="1" x14ac:dyDescent="0.3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4.25" customHeight="1" x14ac:dyDescent="0.3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4.25" customHeight="1" x14ac:dyDescent="0.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4.25" customHeight="1" x14ac:dyDescent="0.3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4.25" customHeight="1" x14ac:dyDescent="0.3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4.25" customHeight="1" x14ac:dyDescent="0.3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4.25" customHeight="1" x14ac:dyDescent="0.3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4.25" customHeight="1" x14ac:dyDescent="0.3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4.25" customHeight="1" x14ac:dyDescent="0.3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4.25" customHeight="1" x14ac:dyDescent="0.3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4.25" customHeight="1" x14ac:dyDescent="0.3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4.25" customHeight="1" x14ac:dyDescent="0.3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4.25" customHeight="1" x14ac:dyDescent="0.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4.25" customHeight="1" x14ac:dyDescent="0.3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4.25" customHeight="1" x14ac:dyDescent="0.3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4.25" customHeight="1" x14ac:dyDescent="0.3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4.25" customHeight="1" x14ac:dyDescent="0.3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4.25" customHeight="1" x14ac:dyDescent="0.3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4.25" customHeight="1" x14ac:dyDescent="0.3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4.25" customHeight="1" x14ac:dyDescent="0.3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4.25" customHeight="1" x14ac:dyDescent="0.3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4.25" customHeight="1" x14ac:dyDescent="0.3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4.25" customHeight="1" x14ac:dyDescent="0.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4.25" customHeight="1" x14ac:dyDescent="0.3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4.25" customHeight="1" x14ac:dyDescent="0.3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4.25" customHeight="1" x14ac:dyDescent="0.3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4.25" customHeight="1" x14ac:dyDescent="0.3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4.25" customHeight="1" x14ac:dyDescent="0.3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4.25" customHeight="1" x14ac:dyDescent="0.3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4.25" customHeight="1" x14ac:dyDescent="0.3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4.25" customHeight="1" x14ac:dyDescent="0.3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4.25" customHeight="1" x14ac:dyDescent="0.3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4.25" customHeight="1" x14ac:dyDescent="0.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4.25" customHeight="1" x14ac:dyDescent="0.3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4.25" customHeight="1" x14ac:dyDescent="0.3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4.25" customHeight="1" x14ac:dyDescent="0.3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4.25" customHeight="1" x14ac:dyDescent="0.3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4.25" customHeight="1" x14ac:dyDescent="0.3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4.25" customHeight="1" x14ac:dyDescent="0.3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4.25" customHeight="1" x14ac:dyDescent="0.3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4.25" customHeight="1" x14ac:dyDescent="0.3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4.25" customHeight="1" x14ac:dyDescent="0.3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4.25" customHeight="1" x14ac:dyDescent="0.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4.25" customHeight="1" x14ac:dyDescent="0.3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4.25" customHeight="1" x14ac:dyDescent="0.3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4.25" customHeight="1" x14ac:dyDescent="0.3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4.25" customHeight="1" x14ac:dyDescent="0.3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4.25" customHeight="1" x14ac:dyDescent="0.3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4.25" customHeight="1" x14ac:dyDescent="0.3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4.25" customHeight="1" x14ac:dyDescent="0.3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4.25" customHeight="1" x14ac:dyDescent="0.3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4.25" customHeight="1" x14ac:dyDescent="0.3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4.25" customHeight="1" x14ac:dyDescent="0.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4.25" customHeight="1" x14ac:dyDescent="0.3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4.25" customHeight="1" x14ac:dyDescent="0.3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4.25" customHeight="1" x14ac:dyDescent="0.3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4.25" customHeight="1" x14ac:dyDescent="0.3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4.25" customHeight="1" x14ac:dyDescent="0.3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4.25" customHeight="1" x14ac:dyDescent="0.3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4.25" customHeight="1" x14ac:dyDescent="0.3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4.25" customHeight="1" x14ac:dyDescent="0.3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4.25" customHeight="1" x14ac:dyDescent="0.3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4.25" customHeight="1" x14ac:dyDescent="0.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4.25" customHeight="1" x14ac:dyDescent="0.3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4.25" customHeight="1" x14ac:dyDescent="0.3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4.25" customHeight="1" x14ac:dyDescent="0.3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4.25" customHeight="1" x14ac:dyDescent="0.3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4.25" customHeight="1" x14ac:dyDescent="0.3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4.25" customHeight="1" x14ac:dyDescent="0.3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4.25" customHeight="1" x14ac:dyDescent="0.3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4.25" customHeight="1" x14ac:dyDescent="0.3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4.25" customHeight="1" x14ac:dyDescent="0.3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4.25" customHeight="1" x14ac:dyDescent="0.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4.25" customHeight="1" x14ac:dyDescent="0.3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4.25" customHeight="1" x14ac:dyDescent="0.3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4.25" customHeight="1" x14ac:dyDescent="0.3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4.25" customHeight="1" x14ac:dyDescent="0.3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4.25" customHeight="1" x14ac:dyDescent="0.3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4.25" customHeight="1" x14ac:dyDescent="0.3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4.25" customHeight="1" x14ac:dyDescent="0.3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4.25" customHeight="1" x14ac:dyDescent="0.3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4.25" customHeight="1" x14ac:dyDescent="0.3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4.25" customHeight="1" x14ac:dyDescent="0.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4.25" customHeight="1" x14ac:dyDescent="0.3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4.25" customHeight="1" x14ac:dyDescent="0.3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4.25" customHeight="1" x14ac:dyDescent="0.3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4.25" customHeight="1" x14ac:dyDescent="0.3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4.25" customHeight="1" x14ac:dyDescent="0.3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4.25" customHeight="1" x14ac:dyDescent="0.3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4.25" customHeight="1" x14ac:dyDescent="0.3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4.25" customHeight="1" x14ac:dyDescent="0.3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4.25" customHeight="1" x14ac:dyDescent="0.3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4.25" customHeight="1" x14ac:dyDescent="0.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4.25" customHeight="1" x14ac:dyDescent="0.3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4.25" customHeight="1" x14ac:dyDescent="0.3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4.25" customHeight="1" x14ac:dyDescent="0.3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4.25" customHeight="1" x14ac:dyDescent="0.3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4.25" customHeight="1" x14ac:dyDescent="0.3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4.25" customHeight="1" x14ac:dyDescent="0.3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4.25" customHeight="1" x14ac:dyDescent="0.3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4.25" customHeight="1" x14ac:dyDescent="0.3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4.25" customHeight="1" x14ac:dyDescent="0.3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4.25" customHeight="1" x14ac:dyDescent="0.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4.25" customHeight="1" x14ac:dyDescent="0.3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4.25" customHeight="1" x14ac:dyDescent="0.3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4.25" customHeight="1" x14ac:dyDescent="0.3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4.25" customHeight="1" x14ac:dyDescent="0.3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4.25" customHeight="1" x14ac:dyDescent="0.3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4.25" customHeight="1" x14ac:dyDescent="0.3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4.25" customHeight="1" x14ac:dyDescent="0.3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4.25" customHeight="1" x14ac:dyDescent="0.3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4.25" customHeight="1" x14ac:dyDescent="0.3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4.25" customHeight="1" x14ac:dyDescent="0.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4.25" customHeight="1" x14ac:dyDescent="0.3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4.25" customHeight="1" x14ac:dyDescent="0.3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4.25" customHeight="1" x14ac:dyDescent="0.3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4.25" customHeight="1" x14ac:dyDescent="0.3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4.25" customHeight="1" x14ac:dyDescent="0.3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4.25" customHeight="1" x14ac:dyDescent="0.3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4.25" customHeight="1" x14ac:dyDescent="0.3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4.25" customHeight="1" x14ac:dyDescent="0.3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4.25" customHeight="1" x14ac:dyDescent="0.3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4.25" customHeight="1" x14ac:dyDescent="0.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4.25" customHeight="1" x14ac:dyDescent="0.3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4.25" customHeight="1" x14ac:dyDescent="0.3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4.25" customHeight="1" x14ac:dyDescent="0.3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4.25" customHeight="1" x14ac:dyDescent="0.3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4.25" customHeight="1" x14ac:dyDescent="0.3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4.25" customHeight="1" x14ac:dyDescent="0.3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4.25" customHeight="1" x14ac:dyDescent="0.3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4.25" customHeight="1" x14ac:dyDescent="0.3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4.25" customHeight="1" x14ac:dyDescent="0.3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4.25" customHeight="1" x14ac:dyDescent="0.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4.25" customHeight="1" x14ac:dyDescent="0.3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4.25" customHeight="1" x14ac:dyDescent="0.3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4.25" customHeight="1" x14ac:dyDescent="0.3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4.25" customHeight="1" x14ac:dyDescent="0.3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4.25" customHeight="1" x14ac:dyDescent="0.3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4.25" customHeight="1" x14ac:dyDescent="0.3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4.25" customHeight="1" x14ac:dyDescent="0.3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4.25" customHeight="1" x14ac:dyDescent="0.3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4.25" customHeight="1" x14ac:dyDescent="0.3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4.25" customHeight="1" x14ac:dyDescent="0.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4.25" customHeight="1" x14ac:dyDescent="0.3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4.25" customHeight="1" x14ac:dyDescent="0.3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4.25" customHeight="1" x14ac:dyDescent="0.3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4.25" customHeight="1" x14ac:dyDescent="0.3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4.25" customHeight="1" x14ac:dyDescent="0.3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4.25" customHeight="1" x14ac:dyDescent="0.3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4.25" customHeight="1" x14ac:dyDescent="0.3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4.25" customHeight="1" x14ac:dyDescent="0.3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4.25" customHeight="1" x14ac:dyDescent="0.3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4.25" customHeight="1" x14ac:dyDescent="0.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4.25" customHeight="1" x14ac:dyDescent="0.3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4.25" customHeight="1" x14ac:dyDescent="0.3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4.25" customHeight="1" x14ac:dyDescent="0.3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4.25" customHeight="1" x14ac:dyDescent="0.3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4.25" customHeight="1" x14ac:dyDescent="0.3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4.25" customHeight="1" x14ac:dyDescent="0.3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4.25" customHeight="1" x14ac:dyDescent="0.3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4.25" customHeight="1" x14ac:dyDescent="0.3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4.25" customHeight="1" x14ac:dyDescent="0.3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4.25" customHeight="1" x14ac:dyDescent="0.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4.25" customHeight="1" x14ac:dyDescent="0.3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4.25" customHeight="1" x14ac:dyDescent="0.3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4.25" customHeight="1" x14ac:dyDescent="0.3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4.25" customHeight="1" x14ac:dyDescent="0.3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4.25" customHeight="1" x14ac:dyDescent="0.3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4.25" customHeight="1" x14ac:dyDescent="0.3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4.25" customHeight="1" x14ac:dyDescent="0.3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4.25" customHeight="1" x14ac:dyDescent="0.3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4.25" customHeight="1" x14ac:dyDescent="0.3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4.25" customHeight="1" x14ac:dyDescent="0.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4.25" customHeight="1" x14ac:dyDescent="0.3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4.25" customHeight="1" x14ac:dyDescent="0.3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4.25" customHeight="1" x14ac:dyDescent="0.3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4.25" customHeight="1" x14ac:dyDescent="0.3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4.25" customHeight="1" x14ac:dyDescent="0.3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4.25" customHeight="1" x14ac:dyDescent="0.3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4.25" customHeight="1" x14ac:dyDescent="0.3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4.25" customHeight="1" x14ac:dyDescent="0.3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4.25" customHeight="1" x14ac:dyDescent="0.3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4.25" customHeight="1" x14ac:dyDescent="0.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4.25" customHeight="1" x14ac:dyDescent="0.3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4.25" customHeight="1" x14ac:dyDescent="0.3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4.25" customHeight="1" x14ac:dyDescent="0.3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4.25" customHeight="1" x14ac:dyDescent="0.3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4.25" customHeight="1" x14ac:dyDescent="0.3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4.25" customHeight="1" x14ac:dyDescent="0.3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4.25" customHeight="1" x14ac:dyDescent="0.3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4.25" customHeight="1" x14ac:dyDescent="0.3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4.25" customHeight="1" x14ac:dyDescent="0.3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4.25" customHeight="1" x14ac:dyDescent="0.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4.25" customHeight="1" x14ac:dyDescent="0.3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4.25" customHeight="1" x14ac:dyDescent="0.3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4.25" customHeight="1" x14ac:dyDescent="0.3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4.25" customHeight="1" x14ac:dyDescent="0.3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4.25" customHeight="1" x14ac:dyDescent="0.3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4.25" customHeight="1" x14ac:dyDescent="0.3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4.25" customHeight="1" x14ac:dyDescent="0.3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4.25" customHeight="1" x14ac:dyDescent="0.3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4.25" customHeight="1" x14ac:dyDescent="0.3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4.25" customHeight="1" x14ac:dyDescent="0.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4.25" customHeight="1" x14ac:dyDescent="0.3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4.25" customHeight="1" x14ac:dyDescent="0.3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4.25" customHeight="1" x14ac:dyDescent="0.3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4.25" customHeight="1" x14ac:dyDescent="0.3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4.25" customHeight="1" x14ac:dyDescent="0.3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4.25" customHeight="1" x14ac:dyDescent="0.3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4.25" customHeight="1" x14ac:dyDescent="0.3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4.25" customHeight="1" x14ac:dyDescent="0.3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4.25" customHeight="1" x14ac:dyDescent="0.3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4.25" customHeight="1" x14ac:dyDescent="0.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4.25" customHeight="1" x14ac:dyDescent="0.3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4.25" customHeight="1" x14ac:dyDescent="0.3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4.25" customHeight="1" x14ac:dyDescent="0.3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4.25" customHeight="1" x14ac:dyDescent="0.3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4.25" customHeight="1" x14ac:dyDescent="0.3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4.25" customHeight="1" x14ac:dyDescent="0.3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4.25" customHeight="1" x14ac:dyDescent="0.3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4.25" customHeight="1" x14ac:dyDescent="0.3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4.25" customHeight="1" x14ac:dyDescent="0.3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4.25" customHeight="1" x14ac:dyDescent="0.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4.25" customHeight="1" x14ac:dyDescent="0.3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4.25" customHeight="1" x14ac:dyDescent="0.3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4.25" customHeight="1" x14ac:dyDescent="0.3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4.25" customHeight="1" x14ac:dyDescent="0.3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4.25" customHeight="1" x14ac:dyDescent="0.3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4.25" customHeight="1" x14ac:dyDescent="0.3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4.25" customHeight="1" x14ac:dyDescent="0.3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4.25" customHeight="1" x14ac:dyDescent="0.3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4.25" customHeight="1" x14ac:dyDescent="0.3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4.25" customHeight="1" x14ac:dyDescent="0.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4.25" customHeight="1" x14ac:dyDescent="0.3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4.25" customHeight="1" x14ac:dyDescent="0.3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4.25" customHeight="1" x14ac:dyDescent="0.3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4.25" customHeight="1" x14ac:dyDescent="0.3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4.25" customHeight="1" x14ac:dyDescent="0.3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4.25" customHeight="1" x14ac:dyDescent="0.3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4.25" customHeight="1" x14ac:dyDescent="0.3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4.25" customHeight="1" x14ac:dyDescent="0.3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4.25" customHeight="1" x14ac:dyDescent="0.3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4.25" customHeight="1" x14ac:dyDescent="0.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4.25" customHeight="1" x14ac:dyDescent="0.3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4.25" customHeight="1" x14ac:dyDescent="0.3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4.25" customHeight="1" x14ac:dyDescent="0.3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4.25" customHeight="1" x14ac:dyDescent="0.3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4.25" customHeight="1" x14ac:dyDescent="0.3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4.25" customHeight="1" x14ac:dyDescent="0.3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4.25" customHeight="1" x14ac:dyDescent="0.3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4.25" customHeight="1" x14ac:dyDescent="0.3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4.25" customHeight="1" x14ac:dyDescent="0.3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4.25" customHeight="1" x14ac:dyDescent="0.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4.25" customHeight="1" x14ac:dyDescent="0.3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4.25" customHeight="1" x14ac:dyDescent="0.3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4.25" customHeight="1" x14ac:dyDescent="0.3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4.25" customHeight="1" x14ac:dyDescent="0.3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4.25" customHeight="1" x14ac:dyDescent="0.3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4.25" customHeight="1" x14ac:dyDescent="0.3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4.25" customHeight="1" x14ac:dyDescent="0.3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4.25" customHeight="1" x14ac:dyDescent="0.3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4.25" customHeight="1" x14ac:dyDescent="0.3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4.25" customHeight="1" x14ac:dyDescent="0.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4.25" customHeight="1" x14ac:dyDescent="0.3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4.25" customHeight="1" x14ac:dyDescent="0.3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4.25" customHeight="1" x14ac:dyDescent="0.3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4.25" customHeight="1" x14ac:dyDescent="0.3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4.25" customHeight="1" x14ac:dyDescent="0.3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4.25" customHeight="1" x14ac:dyDescent="0.3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4.25" customHeight="1" x14ac:dyDescent="0.3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4.25" customHeight="1" x14ac:dyDescent="0.3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4.25" customHeight="1" x14ac:dyDescent="0.3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4.25" customHeight="1" x14ac:dyDescent="0.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4.25" customHeight="1" x14ac:dyDescent="0.3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4.25" customHeight="1" x14ac:dyDescent="0.3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4.25" customHeight="1" x14ac:dyDescent="0.3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4.25" customHeight="1" x14ac:dyDescent="0.3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4.25" customHeight="1" x14ac:dyDescent="0.3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4.25" customHeight="1" x14ac:dyDescent="0.3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4.25" customHeight="1" x14ac:dyDescent="0.3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4.25" customHeight="1" x14ac:dyDescent="0.3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4.25" customHeight="1" x14ac:dyDescent="0.3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4.25" customHeight="1" x14ac:dyDescent="0.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4.25" customHeight="1" x14ac:dyDescent="0.3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4.25" customHeight="1" x14ac:dyDescent="0.3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4.25" customHeight="1" x14ac:dyDescent="0.3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4.25" customHeight="1" x14ac:dyDescent="0.3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4.25" customHeight="1" x14ac:dyDescent="0.3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4.25" customHeight="1" x14ac:dyDescent="0.3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4.25" customHeight="1" x14ac:dyDescent="0.3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4.25" customHeight="1" x14ac:dyDescent="0.3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4.25" customHeight="1" x14ac:dyDescent="0.3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4.25" customHeight="1" x14ac:dyDescent="0.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4.25" customHeight="1" x14ac:dyDescent="0.3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4.25" customHeight="1" x14ac:dyDescent="0.3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4.25" customHeight="1" x14ac:dyDescent="0.3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4.25" customHeight="1" x14ac:dyDescent="0.3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4.25" customHeight="1" x14ac:dyDescent="0.3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4.25" customHeight="1" x14ac:dyDescent="0.3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4.25" customHeight="1" x14ac:dyDescent="0.3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4.25" customHeight="1" x14ac:dyDescent="0.3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4.25" customHeight="1" x14ac:dyDescent="0.3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4.25" customHeight="1" x14ac:dyDescent="0.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4.25" customHeight="1" x14ac:dyDescent="0.3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4.25" customHeight="1" x14ac:dyDescent="0.3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4.25" customHeight="1" x14ac:dyDescent="0.3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4.25" customHeight="1" x14ac:dyDescent="0.3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4.25" customHeight="1" x14ac:dyDescent="0.3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4.25" customHeight="1" x14ac:dyDescent="0.3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4.25" customHeight="1" x14ac:dyDescent="0.3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4.25" customHeight="1" x14ac:dyDescent="0.3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4.25" customHeight="1" x14ac:dyDescent="0.3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4.25" customHeight="1" x14ac:dyDescent="0.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4.25" customHeight="1" x14ac:dyDescent="0.3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4.25" customHeight="1" x14ac:dyDescent="0.3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4.25" customHeight="1" x14ac:dyDescent="0.3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4.25" customHeight="1" x14ac:dyDescent="0.3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4.25" customHeight="1" x14ac:dyDescent="0.3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4.25" customHeight="1" x14ac:dyDescent="0.3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4.25" customHeight="1" x14ac:dyDescent="0.3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4.25" customHeight="1" x14ac:dyDescent="0.3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4.25" customHeight="1" x14ac:dyDescent="0.3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4.25" customHeight="1" x14ac:dyDescent="0.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4.25" customHeight="1" x14ac:dyDescent="0.3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4.25" customHeight="1" x14ac:dyDescent="0.3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4.25" customHeight="1" x14ac:dyDescent="0.3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4.25" customHeight="1" x14ac:dyDescent="0.3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4.25" customHeight="1" x14ac:dyDescent="0.3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4.25" customHeight="1" x14ac:dyDescent="0.3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4.25" customHeight="1" x14ac:dyDescent="0.3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4.25" customHeight="1" x14ac:dyDescent="0.3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4.25" customHeight="1" x14ac:dyDescent="0.3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4.25" customHeight="1" x14ac:dyDescent="0.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4.25" customHeight="1" x14ac:dyDescent="0.3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4.25" customHeight="1" x14ac:dyDescent="0.3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4.25" customHeight="1" x14ac:dyDescent="0.3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4.25" customHeight="1" x14ac:dyDescent="0.3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4.25" customHeight="1" x14ac:dyDescent="0.3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4.25" customHeight="1" x14ac:dyDescent="0.3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4.25" customHeight="1" x14ac:dyDescent="0.3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4.25" customHeight="1" x14ac:dyDescent="0.3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4.25" customHeight="1" x14ac:dyDescent="0.3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4.25" customHeight="1" x14ac:dyDescent="0.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4.25" customHeight="1" x14ac:dyDescent="0.3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4.25" customHeight="1" x14ac:dyDescent="0.3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4.25" customHeight="1" x14ac:dyDescent="0.3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4.25" customHeight="1" x14ac:dyDescent="0.3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4.25" customHeight="1" x14ac:dyDescent="0.3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4.25" customHeight="1" x14ac:dyDescent="0.3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4.25" customHeight="1" x14ac:dyDescent="0.3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4.25" customHeight="1" x14ac:dyDescent="0.3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4.25" customHeight="1" x14ac:dyDescent="0.3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4.25" customHeight="1" x14ac:dyDescent="0.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4.25" customHeight="1" x14ac:dyDescent="0.3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4.25" customHeight="1" x14ac:dyDescent="0.3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4.25" customHeight="1" x14ac:dyDescent="0.3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4.25" customHeight="1" x14ac:dyDescent="0.3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4.25" customHeight="1" x14ac:dyDescent="0.3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4.25" customHeight="1" x14ac:dyDescent="0.3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4.25" customHeight="1" x14ac:dyDescent="0.3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4.25" customHeight="1" x14ac:dyDescent="0.3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4.25" customHeight="1" x14ac:dyDescent="0.3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4.25" customHeight="1" x14ac:dyDescent="0.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4.25" customHeight="1" x14ac:dyDescent="0.3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4.25" customHeight="1" x14ac:dyDescent="0.3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4.25" customHeight="1" x14ac:dyDescent="0.3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4.25" customHeight="1" x14ac:dyDescent="0.3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4.25" customHeight="1" x14ac:dyDescent="0.3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4.25" customHeight="1" x14ac:dyDescent="0.3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4.25" customHeight="1" x14ac:dyDescent="0.3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4.25" customHeight="1" x14ac:dyDescent="0.3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4.25" customHeight="1" x14ac:dyDescent="0.3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4.25" customHeight="1" x14ac:dyDescent="0.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4.25" customHeight="1" x14ac:dyDescent="0.3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4.25" customHeight="1" x14ac:dyDescent="0.3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4.25" customHeight="1" x14ac:dyDescent="0.3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4.25" customHeight="1" x14ac:dyDescent="0.3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4.25" customHeight="1" x14ac:dyDescent="0.3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4.25" customHeight="1" x14ac:dyDescent="0.3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4.25" customHeight="1" x14ac:dyDescent="0.3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4.25" customHeight="1" x14ac:dyDescent="0.3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4.25" customHeight="1" x14ac:dyDescent="0.3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4.25" customHeight="1" x14ac:dyDescent="0.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4.25" customHeight="1" x14ac:dyDescent="0.3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4.25" customHeight="1" x14ac:dyDescent="0.3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4.25" customHeight="1" x14ac:dyDescent="0.3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4.25" customHeight="1" x14ac:dyDescent="0.3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4.25" customHeight="1" x14ac:dyDescent="0.3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4.25" customHeight="1" x14ac:dyDescent="0.3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4.25" customHeight="1" x14ac:dyDescent="0.3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4.25" customHeight="1" x14ac:dyDescent="0.3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4.25" customHeight="1" x14ac:dyDescent="0.3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4.25" customHeight="1" x14ac:dyDescent="0.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4.25" customHeight="1" x14ac:dyDescent="0.3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4.25" customHeight="1" x14ac:dyDescent="0.3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4.25" customHeight="1" x14ac:dyDescent="0.3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4.25" customHeight="1" x14ac:dyDescent="0.3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4.25" customHeight="1" x14ac:dyDescent="0.3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4.25" customHeight="1" x14ac:dyDescent="0.3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4.25" customHeight="1" x14ac:dyDescent="0.3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4.25" customHeight="1" x14ac:dyDescent="0.3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4.25" customHeight="1" x14ac:dyDescent="0.3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4.25" customHeight="1" x14ac:dyDescent="0.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4.25" customHeight="1" x14ac:dyDescent="0.3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4.25" customHeight="1" x14ac:dyDescent="0.3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4.25" customHeight="1" x14ac:dyDescent="0.3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4.25" customHeight="1" x14ac:dyDescent="0.3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4.25" customHeight="1" x14ac:dyDescent="0.3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4.25" customHeight="1" x14ac:dyDescent="0.3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4.25" customHeight="1" x14ac:dyDescent="0.3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4.25" customHeight="1" x14ac:dyDescent="0.3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4.25" customHeight="1" x14ac:dyDescent="0.3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4.25" customHeight="1" x14ac:dyDescent="0.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4.25" customHeight="1" x14ac:dyDescent="0.3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4.25" customHeight="1" x14ac:dyDescent="0.3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4.25" customHeight="1" x14ac:dyDescent="0.3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4.25" customHeight="1" x14ac:dyDescent="0.3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4.25" customHeight="1" x14ac:dyDescent="0.3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4.25" customHeight="1" x14ac:dyDescent="0.3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4.25" customHeight="1" x14ac:dyDescent="0.3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4.25" customHeight="1" x14ac:dyDescent="0.3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4.25" customHeight="1" x14ac:dyDescent="0.3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4.25" customHeight="1" x14ac:dyDescent="0.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4.25" customHeight="1" x14ac:dyDescent="0.3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4.25" customHeight="1" x14ac:dyDescent="0.3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4.25" customHeight="1" x14ac:dyDescent="0.3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4.25" customHeight="1" x14ac:dyDescent="0.3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4.25" customHeight="1" x14ac:dyDescent="0.3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4.25" customHeight="1" x14ac:dyDescent="0.3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4.25" customHeight="1" x14ac:dyDescent="0.3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4.25" customHeight="1" x14ac:dyDescent="0.3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4.25" customHeight="1" x14ac:dyDescent="0.3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4.25" customHeight="1" x14ac:dyDescent="0.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4.25" customHeight="1" x14ac:dyDescent="0.3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4.25" customHeight="1" x14ac:dyDescent="0.3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4.25" customHeight="1" x14ac:dyDescent="0.3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4.25" customHeight="1" x14ac:dyDescent="0.3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4.25" customHeight="1" x14ac:dyDescent="0.3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4.25" customHeight="1" x14ac:dyDescent="0.3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4.25" customHeight="1" x14ac:dyDescent="0.3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4.25" customHeight="1" x14ac:dyDescent="0.3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4.25" customHeight="1" x14ac:dyDescent="0.3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4.25" customHeight="1" x14ac:dyDescent="0.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4.25" customHeight="1" x14ac:dyDescent="0.3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4.25" customHeight="1" x14ac:dyDescent="0.3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4.25" customHeight="1" x14ac:dyDescent="0.3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4.25" customHeight="1" x14ac:dyDescent="0.3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4.25" customHeight="1" x14ac:dyDescent="0.3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4.25" customHeight="1" x14ac:dyDescent="0.3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4.25" customHeight="1" x14ac:dyDescent="0.3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4.25" customHeight="1" x14ac:dyDescent="0.3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4.25" customHeight="1" x14ac:dyDescent="0.3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4.25" customHeight="1" x14ac:dyDescent="0.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4.25" customHeight="1" x14ac:dyDescent="0.3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4.25" customHeight="1" x14ac:dyDescent="0.3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4.25" customHeight="1" x14ac:dyDescent="0.3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4.25" customHeight="1" x14ac:dyDescent="0.3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4.25" customHeight="1" x14ac:dyDescent="0.3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4.25" customHeight="1" x14ac:dyDescent="0.3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4.25" customHeight="1" x14ac:dyDescent="0.3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4.25" customHeight="1" x14ac:dyDescent="0.3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4.25" customHeight="1" x14ac:dyDescent="0.3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4.25" customHeight="1" x14ac:dyDescent="0.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4.25" customHeight="1" x14ac:dyDescent="0.3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4.25" customHeight="1" x14ac:dyDescent="0.3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4.25" customHeight="1" x14ac:dyDescent="0.3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4.25" customHeight="1" x14ac:dyDescent="0.3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4.25" customHeight="1" x14ac:dyDescent="0.3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4.25" customHeight="1" x14ac:dyDescent="0.3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4.25" customHeight="1" x14ac:dyDescent="0.3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4.25" customHeight="1" x14ac:dyDescent="0.3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4.25" customHeight="1" x14ac:dyDescent="0.3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4.25" customHeight="1" x14ac:dyDescent="0.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4.25" customHeight="1" x14ac:dyDescent="0.3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4.25" customHeight="1" x14ac:dyDescent="0.3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4.25" customHeight="1" x14ac:dyDescent="0.3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4.25" customHeight="1" x14ac:dyDescent="0.3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4.25" customHeight="1" x14ac:dyDescent="0.3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4.25" customHeight="1" x14ac:dyDescent="0.3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4.25" customHeight="1" x14ac:dyDescent="0.3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4.25" customHeight="1" x14ac:dyDescent="0.3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4.25" customHeight="1" x14ac:dyDescent="0.3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4.25" customHeight="1" x14ac:dyDescent="0.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4.25" customHeight="1" x14ac:dyDescent="0.3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4.25" customHeight="1" x14ac:dyDescent="0.3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4.25" customHeight="1" x14ac:dyDescent="0.3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4.25" customHeight="1" x14ac:dyDescent="0.3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4.25" customHeight="1" x14ac:dyDescent="0.3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4.25" customHeight="1" x14ac:dyDescent="0.3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4.25" customHeight="1" x14ac:dyDescent="0.3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4.25" customHeight="1" x14ac:dyDescent="0.3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4.25" customHeight="1" x14ac:dyDescent="0.3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4.25" customHeight="1" x14ac:dyDescent="0.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4.25" customHeight="1" x14ac:dyDescent="0.3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4.25" customHeight="1" x14ac:dyDescent="0.3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4.25" customHeight="1" x14ac:dyDescent="0.3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4.25" customHeight="1" x14ac:dyDescent="0.3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4.25" customHeight="1" x14ac:dyDescent="0.3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4.25" customHeight="1" x14ac:dyDescent="0.3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4.25" customHeight="1" x14ac:dyDescent="0.3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4.25" customHeight="1" x14ac:dyDescent="0.3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4.25" customHeight="1" x14ac:dyDescent="0.3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4.25" customHeight="1" x14ac:dyDescent="0.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4.25" customHeight="1" x14ac:dyDescent="0.3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4.25" customHeight="1" x14ac:dyDescent="0.3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4.25" customHeight="1" x14ac:dyDescent="0.3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4.25" customHeight="1" x14ac:dyDescent="0.3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4.25" customHeight="1" x14ac:dyDescent="0.3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4.25" customHeight="1" x14ac:dyDescent="0.3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4.25" customHeight="1" x14ac:dyDescent="0.3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5">
    <mergeCell ref="F6:H6"/>
    <mergeCell ref="F5:H5"/>
    <mergeCell ref="B4:H4"/>
    <mergeCell ref="B2:H2"/>
    <mergeCell ref="B3:H3"/>
  </mergeCells>
  <dataValidations count="1">
    <dataValidation type="list" allowBlank="1" sqref="F9:F143" xr:uid="{00000000-0002-0000-0500-000000000000}">
      <formula1>$J$2:$J$6</formula1>
    </dataValidation>
  </dataValidation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I19" sqref="I19"/>
    </sheetView>
  </sheetViews>
  <sheetFormatPr defaultColWidth="14.44140625" defaultRowHeight="15" customHeight="1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6640625" customWidth="1"/>
    <col min="9" max="9" width="30.109375" customWidth="1"/>
    <col min="10" max="26" width="9.109375" customWidth="1"/>
  </cols>
  <sheetData>
    <row r="1" spans="1:26" ht="25.5" customHeight="1" x14ac:dyDescent="0.4">
      <c r="A1" s="3"/>
      <c r="B1" s="119" t="s">
        <v>202</v>
      </c>
      <c r="C1" s="120"/>
      <c r="D1" s="120"/>
      <c r="E1" s="120"/>
      <c r="F1" s="120"/>
      <c r="G1" s="120"/>
      <c r="H1" s="12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72"/>
      <c r="B2" s="72"/>
      <c r="C2" s="3"/>
      <c r="D2" s="3"/>
      <c r="E2" s="3"/>
      <c r="F2" s="3"/>
      <c r="G2" s="3"/>
      <c r="H2" s="7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3">
      <c r="A3" s="3"/>
      <c r="B3" s="74" t="s">
        <v>1</v>
      </c>
      <c r="C3" s="114" t="str">
        <f>Cover!C4</f>
        <v>Snipe-IT (IT Asset Management)</v>
      </c>
      <c r="D3" s="102"/>
      <c r="E3" s="118" t="s">
        <v>3</v>
      </c>
      <c r="F3" s="102"/>
      <c r="G3" s="75" t="str">
        <f>Cover!G4</f>
        <v>Tạ Văn Huy</v>
      </c>
      <c r="H3" s="7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 x14ac:dyDescent="0.3">
      <c r="A4" s="3"/>
      <c r="B4" s="74" t="s">
        <v>5</v>
      </c>
      <c r="C4" s="114" t="str">
        <f>Cover!C5</f>
        <v>Group17_SnipeIT</v>
      </c>
      <c r="D4" s="102"/>
      <c r="E4" s="118" t="s">
        <v>7</v>
      </c>
      <c r="F4" s="102"/>
      <c r="G4" s="75" t="str">
        <f>Cover!G5</f>
        <v>Trịnh Minh Quý</v>
      </c>
      <c r="H4" s="7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3"/>
      <c r="B5" s="77" t="s">
        <v>9</v>
      </c>
      <c r="C5" s="114" t="str">
        <f>C4&amp;"_"&amp;"Test Report"&amp;"_"&amp;"v0.1"</f>
        <v>Group17_SnipeIT_Test Report_v0.1</v>
      </c>
      <c r="D5" s="102"/>
      <c r="E5" s="118" t="s">
        <v>11</v>
      </c>
      <c r="F5" s="102"/>
      <c r="G5" s="78" t="s">
        <v>213</v>
      </c>
      <c r="H5" s="7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75" customHeight="1" x14ac:dyDescent="0.3">
      <c r="A6" s="72"/>
      <c r="B6" s="77" t="s">
        <v>203</v>
      </c>
      <c r="C6" s="112" t="s">
        <v>204</v>
      </c>
      <c r="D6" s="101"/>
      <c r="E6" s="101"/>
      <c r="F6" s="101"/>
      <c r="G6" s="101"/>
      <c r="H6" s="10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72"/>
      <c r="B7" s="34"/>
      <c r="C7" s="80"/>
      <c r="D7" s="3"/>
      <c r="E7" s="3"/>
      <c r="F7" s="3"/>
      <c r="G7" s="3"/>
      <c r="H7" s="7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3"/>
      <c r="B8" s="34"/>
      <c r="C8" s="80"/>
      <c r="D8" s="3"/>
      <c r="E8" s="3"/>
      <c r="F8" s="3"/>
      <c r="G8" s="3"/>
      <c r="H8" s="7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81"/>
      <c r="B10" s="82" t="s">
        <v>27</v>
      </c>
      <c r="C10" s="83" t="s">
        <v>205</v>
      </c>
      <c r="D10" s="84" t="s">
        <v>206</v>
      </c>
      <c r="E10" s="83" t="s">
        <v>207</v>
      </c>
      <c r="F10" s="83" t="s">
        <v>100</v>
      </c>
      <c r="G10" s="85" t="s">
        <v>99</v>
      </c>
      <c r="H10" s="86" t="s">
        <v>101</v>
      </c>
      <c r="I10" s="86" t="s">
        <v>208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81"/>
      <c r="B11" s="87">
        <v>1</v>
      </c>
      <c r="C11" s="88" t="str">
        <f>Accessory!B2</f>
        <v>Accessory</v>
      </c>
      <c r="D11" s="89">
        <f>Accessory!A6</f>
        <v>0</v>
      </c>
      <c r="E11" s="89">
        <f>Accessory!B6</f>
        <v>0</v>
      </c>
      <c r="F11" s="89">
        <f>Accessory!C6</f>
        <v>30</v>
      </c>
      <c r="G11" s="90">
        <f>Accessory!D6</f>
        <v>0</v>
      </c>
      <c r="H11" s="90">
        <f>Accessory!E6</f>
        <v>0</v>
      </c>
      <c r="I11" s="91">
        <f>Accessory!F6</f>
        <v>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81"/>
      <c r="B12" s="87">
        <v>2</v>
      </c>
      <c r="C12" s="88" t="str">
        <f>Consumable!B2</f>
        <v>Consumable</v>
      </c>
      <c r="D12" s="89">
        <f>Consumable!A6</f>
        <v>0</v>
      </c>
      <c r="E12" s="89">
        <f>Consumable!B6</f>
        <v>0</v>
      </c>
      <c r="F12" s="89">
        <f>Consumable!C6</f>
        <v>0</v>
      </c>
      <c r="G12" s="90">
        <f>Consumable!D6</f>
        <v>0</v>
      </c>
      <c r="H12" s="90">
        <f>Consumable!E6</f>
        <v>0</v>
      </c>
      <c r="I12" s="91">
        <f>Consumable!F6</f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81"/>
      <c r="B13" s="87">
        <v>3</v>
      </c>
      <c r="C13" s="88" t="str">
        <f>Component!B2</f>
        <v>Component</v>
      </c>
      <c r="D13" s="89">
        <f>Component!A6</f>
        <v>0</v>
      </c>
      <c r="E13" s="89">
        <f>Component!B6</f>
        <v>0</v>
      </c>
      <c r="F13" s="89">
        <f>Component!C6</f>
        <v>0</v>
      </c>
      <c r="G13" s="89">
        <f>Component!D6</f>
        <v>0</v>
      </c>
      <c r="H13" s="89">
        <f>Component!E6</f>
        <v>0</v>
      </c>
      <c r="I13" s="91">
        <f>Component!F6</f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81"/>
      <c r="B14" s="87"/>
      <c r="C14" s="88"/>
      <c r="D14" s="89"/>
      <c r="E14" s="89"/>
      <c r="F14" s="89"/>
      <c r="G14" s="90"/>
      <c r="H14" s="90"/>
      <c r="I14" s="9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81"/>
      <c r="B15" s="92"/>
      <c r="C15" s="93" t="s">
        <v>209</v>
      </c>
      <c r="D15" s="94">
        <f t="shared" ref="D15:I15" si="0">SUM(D9:D14)</f>
        <v>0</v>
      </c>
      <c r="E15" s="94">
        <f t="shared" si="0"/>
        <v>0</v>
      </c>
      <c r="F15" s="94">
        <f t="shared" si="0"/>
        <v>30</v>
      </c>
      <c r="G15" s="94">
        <f t="shared" si="0"/>
        <v>0</v>
      </c>
      <c r="H15" s="95">
        <f t="shared" si="0"/>
        <v>0</v>
      </c>
      <c r="I15" s="95">
        <f t="shared" si="0"/>
        <v>30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3"/>
      <c r="B16" s="96"/>
      <c r="C16" s="3"/>
      <c r="D16" s="97"/>
      <c r="E16" s="98"/>
      <c r="F16" s="98"/>
      <c r="G16" s="98"/>
      <c r="H16" s="9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3"/>
      <c r="B17" s="3"/>
      <c r="C17" s="19" t="s">
        <v>210</v>
      </c>
      <c r="D17" s="3"/>
      <c r="E17" s="99">
        <f>IFERROR((D15+E15)*100/(I15-H15-G15),0)</f>
        <v>0</v>
      </c>
      <c r="F17" s="3" t="s">
        <v>211</v>
      </c>
      <c r="G17" s="3"/>
      <c r="H17" s="4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3"/>
      <c r="B18" s="3"/>
      <c r="C18" s="19" t="s">
        <v>212</v>
      </c>
      <c r="D18" s="3"/>
      <c r="E18" s="99">
        <f>IFERROR(D15*100/(D15+E15),0)</f>
        <v>0</v>
      </c>
      <c r="F18" s="3" t="s">
        <v>211</v>
      </c>
      <c r="G18" s="3"/>
      <c r="H18" s="4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4.25" customHeight="1" x14ac:dyDescent="0.3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4.25" customHeight="1" x14ac:dyDescent="0.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4.25" customHeight="1" x14ac:dyDescent="0.3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4.25" customHeight="1" x14ac:dyDescent="0.3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4.25" customHeight="1" x14ac:dyDescent="0.3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4.25" customHeight="1" x14ac:dyDescent="0.3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4.25" customHeight="1" x14ac:dyDescent="0.3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4.25" customHeight="1" x14ac:dyDescent="0.3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4.25" customHeight="1" x14ac:dyDescent="0.3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4.25" customHeight="1" x14ac:dyDescent="0.3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4.25" customHeight="1" x14ac:dyDescent="0.3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4.25" customHeight="1" x14ac:dyDescent="0.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4.25" customHeight="1" x14ac:dyDescent="0.3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4.25" customHeight="1" x14ac:dyDescent="0.3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4.25" customHeight="1" x14ac:dyDescent="0.3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4.25" customHeight="1" x14ac:dyDescent="0.3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4.25" customHeight="1" x14ac:dyDescent="0.3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4.25" customHeight="1" x14ac:dyDescent="0.3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4.25" customHeight="1" x14ac:dyDescent="0.3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4.25" customHeight="1" x14ac:dyDescent="0.3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4.25" customHeight="1" x14ac:dyDescent="0.3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4.25" customHeight="1" x14ac:dyDescent="0.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4.25" customHeight="1" x14ac:dyDescent="0.3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4.25" customHeight="1" x14ac:dyDescent="0.3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4.25" customHeight="1" x14ac:dyDescent="0.3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4.25" customHeight="1" x14ac:dyDescent="0.3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4.25" customHeight="1" x14ac:dyDescent="0.3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4.25" customHeight="1" x14ac:dyDescent="0.3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4.25" customHeight="1" x14ac:dyDescent="0.3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4.25" customHeight="1" x14ac:dyDescent="0.3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4.25" customHeight="1" x14ac:dyDescent="0.3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4.25" customHeight="1" x14ac:dyDescent="0.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4.25" customHeight="1" x14ac:dyDescent="0.3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4.25" customHeight="1" x14ac:dyDescent="0.3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4.25" customHeight="1" x14ac:dyDescent="0.3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4.25" customHeight="1" x14ac:dyDescent="0.3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4.25" customHeight="1" x14ac:dyDescent="0.3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4.25" customHeight="1" x14ac:dyDescent="0.3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4.25" customHeight="1" x14ac:dyDescent="0.3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4.25" customHeight="1" x14ac:dyDescent="0.3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4.25" customHeight="1" x14ac:dyDescent="0.3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4.25" customHeight="1" x14ac:dyDescent="0.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4.25" customHeight="1" x14ac:dyDescent="0.3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4.25" customHeight="1" x14ac:dyDescent="0.3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4.25" customHeight="1" x14ac:dyDescent="0.3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4.25" customHeight="1" x14ac:dyDescent="0.3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4.25" customHeight="1" x14ac:dyDescent="0.3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4.25" customHeight="1" x14ac:dyDescent="0.3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4.25" customHeight="1" x14ac:dyDescent="0.3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4.25" customHeight="1" x14ac:dyDescent="0.3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4.25" customHeight="1" x14ac:dyDescent="0.3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4.25" customHeight="1" x14ac:dyDescent="0.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4.25" customHeight="1" x14ac:dyDescent="0.3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4.25" customHeight="1" x14ac:dyDescent="0.3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4.25" customHeight="1" x14ac:dyDescent="0.3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4.25" customHeight="1" x14ac:dyDescent="0.3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4.25" customHeight="1" x14ac:dyDescent="0.3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4.25" customHeight="1" x14ac:dyDescent="0.3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4.25" customHeight="1" x14ac:dyDescent="0.3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4.25" customHeight="1" x14ac:dyDescent="0.3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4.25" customHeight="1" x14ac:dyDescent="0.3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4.25" customHeight="1" x14ac:dyDescent="0.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4.25" customHeight="1" x14ac:dyDescent="0.3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4.25" customHeight="1" x14ac:dyDescent="0.3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4.25" customHeight="1" x14ac:dyDescent="0.3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4.25" customHeight="1" x14ac:dyDescent="0.3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4.25" customHeight="1" x14ac:dyDescent="0.3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4.25" customHeight="1" x14ac:dyDescent="0.3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4.25" customHeight="1" x14ac:dyDescent="0.3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4.25" customHeight="1" x14ac:dyDescent="0.3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4.25" customHeight="1" x14ac:dyDescent="0.3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4.25" customHeight="1" x14ac:dyDescent="0.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4.25" customHeight="1" x14ac:dyDescent="0.3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4.25" customHeight="1" x14ac:dyDescent="0.3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4.25" customHeight="1" x14ac:dyDescent="0.3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4.25" customHeight="1" x14ac:dyDescent="0.3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4.25" customHeight="1" x14ac:dyDescent="0.3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4.25" customHeight="1" x14ac:dyDescent="0.3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4.25" customHeight="1" x14ac:dyDescent="0.3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4.25" customHeight="1" x14ac:dyDescent="0.3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4.25" customHeight="1" x14ac:dyDescent="0.3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4.25" customHeight="1" x14ac:dyDescent="0.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4.25" customHeight="1" x14ac:dyDescent="0.3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4.25" customHeight="1" x14ac:dyDescent="0.3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4.25" customHeight="1" x14ac:dyDescent="0.3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4.25" customHeight="1" x14ac:dyDescent="0.3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4.25" customHeight="1" x14ac:dyDescent="0.3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4.25" customHeight="1" x14ac:dyDescent="0.3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4.25" customHeight="1" x14ac:dyDescent="0.3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4.25" customHeight="1" x14ac:dyDescent="0.3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4.25" customHeight="1" x14ac:dyDescent="0.3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4.25" customHeight="1" x14ac:dyDescent="0.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4.25" customHeight="1" x14ac:dyDescent="0.3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4.25" customHeight="1" x14ac:dyDescent="0.3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4.25" customHeight="1" x14ac:dyDescent="0.3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4.25" customHeight="1" x14ac:dyDescent="0.3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4.25" customHeight="1" x14ac:dyDescent="0.3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4.25" customHeight="1" x14ac:dyDescent="0.3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4.25" customHeight="1" x14ac:dyDescent="0.3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4.25" customHeight="1" x14ac:dyDescent="0.3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4.25" customHeight="1" x14ac:dyDescent="0.3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4.25" customHeight="1" x14ac:dyDescent="0.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4.25" customHeight="1" x14ac:dyDescent="0.3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4.25" customHeight="1" x14ac:dyDescent="0.3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4.25" customHeight="1" x14ac:dyDescent="0.3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4.25" customHeight="1" x14ac:dyDescent="0.3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4.25" customHeight="1" x14ac:dyDescent="0.3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4.25" customHeight="1" x14ac:dyDescent="0.3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4.25" customHeight="1" x14ac:dyDescent="0.3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4.25" customHeight="1" x14ac:dyDescent="0.3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4.25" customHeight="1" x14ac:dyDescent="0.3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4.25" customHeight="1" x14ac:dyDescent="0.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4.25" customHeight="1" x14ac:dyDescent="0.3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4.25" customHeight="1" x14ac:dyDescent="0.3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4.25" customHeight="1" x14ac:dyDescent="0.3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4.25" customHeight="1" x14ac:dyDescent="0.3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4.25" customHeight="1" x14ac:dyDescent="0.3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4.25" customHeight="1" x14ac:dyDescent="0.3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4.25" customHeight="1" x14ac:dyDescent="0.3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4.25" customHeight="1" x14ac:dyDescent="0.3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4.25" customHeight="1" x14ac:dyDescent="0.3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4.25" customHeight="1" x14ac:dyDescent="0.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4.25" customHeight="1" x14ac:dyDescent="0.3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4.25" customHeight="1" x14ac:dyDescent="0.3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4.25" customHeight="1" x14ac:dyDescent="0.3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4.25" customHeight="1" x14ac:dyDescent="0.3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4.25" customHeight="1" x14ac:dyDescent="0.3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4.25" customHeight="1" x14ac:dyDescent="0.3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4.25" customHeight="1" x14ac:dyDescent="0.3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4.25" customHeight="1" x14ac:dyDescent="0.3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4.25" customHeight="1" x14ac:dyDescent="0.3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4.25" customHeight="1" x14ac:dyDescent="0.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4.25" customHeight="1" x14ac:dyDescent="0.3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4.25" customHeight="1" x14ac:dyDescent="0.3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4.25" customHeight="1" x14ac:dyDescent="0.3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4.25" customHeight="1" x14ac:dyDescent="0.3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4.25" customHeight="1" x14ac:dyDescent="0.3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4.25" customHeight="1" x14ac:dyDescent="0.3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4.25" customHeight="1" x14ac:dyDescent="0.3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4.25" customHeight="1" x14ac:dyDescent="0.3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4.25" customHeight="1" x14ac:dyDescent="0.3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4.25" customHeight="1" x14ac:dyDescent="0.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4.25" customHeight="1" x14ac:dyDescent="0.3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4.25" customHeight="1" x14ac:dyDescent="0.3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4.25" customHeight="1" x14ac:dyDescent="0.3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4.25" customHeight="1" x14ac:dyDescent="0.3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4.25" customHeight="1" x14ac:dyDescent="0.3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4.25" customHeight="1" x14ac:dyDescent="0.3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4.25" customHeight="1" x14ac:dyDescent="0.3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4.25" customHeight="1" x14ac:dyDescent="0.3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4.25" customHeight="1" x14ac:dyDescent="0.3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4.25" customHeight="1" x14ac:dyDescent="0.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4.25" customHeight="1" x14ac:dyDescent="0.3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4.25" customHeight="1" x14ac:dyDescent="0.3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4.25" customHeight="1" x14ac:dyDescent="0.3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4.25" customHeight="1" x14ac:dyDescent="0.3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4.25" customHeight="1" x14ac:dyDescent="0.3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4.25" customHeight="1" x14ac:dyDescent="0.3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4.25" customHeight="1" x14ac:dyDescent="0.3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4.25" customHeight="1" x14ac:dyDescent="0.3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4.25" customHeight="1" x14ac:dyDescent="0.3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4.25" customHeight="1" x14ac:dyDescent="0.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4.25" customHeight="1" x14ac:dyDescent="0.3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4.25" customHeight="1" x14ac:dyDescent="0.3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4.25" customHeight="1" x14ac:dyDescent="0.3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4.25" customHeight="1" x14ac:dyDescent="0.3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4.25" customHeight="1" x14ac:dyDescent="0.3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4.25" customHeight="1" x14ac:dyDescent="0.3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4.25" customHeight="1" x14ac:dyDescent="0.3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4.25" customHeight="1" x14ac:dyDescent="0.3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4.25" customHeight="1" x14ac:dyDescent="0.3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4.25" customHeight="1" x14ac:dyDescent="0.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4.25" customHeight="1" x14ac:dyDescent="0.3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4.25" customHeight="1" x14ac:dyDescent="0.3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4.25" customHeight="1" x14ac:dyDescent="0.3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4.25" customHeight="1" x14ac:dyDescent="0.3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4.25" customHeight="1" x14ac:dyDescent="0.3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4.25" customHeight="1" x14ac:dyDescent="0.3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4.25" customHeight="1" x14ac:dyDescent="0.3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4.25" customHeight="1" x14ac:dyDescent="0.3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4.25" customHeight="1" x14ac:dyDescent="0.3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4.25" customHeight="1" x14ac:dyDescent="0.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4.25" customHeight="1" x14ac:dyDescent="0.3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4.25" customHeight="1" x14ac:dyDescent="0.3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4.25" customHeight="1" x14ac:dyDescent="0.3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4.25" customHeight="1" x14ac:dyDescent="0.3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4.25" customHeight="1" x14ac:dyDescent="0.3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4.25" customHeight="1" x14ac:dyDescent="0.3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4.25" customHeight="1" x14ac:dyDescent="0.3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4.25" customHeight="1" x14ac:dyDescent="0.3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4.25" customHeight="1" x14ac:dyDescent="0.3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4.25" customHeight="1" x14ac:dyDescent="0.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4.25" customHeight="1" x14ac:dyDescent="0.3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4.25" customHeight="1" x14ac:dyDescent="0.3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4.25" customHeight="1" x14ac:dyDescent="0.3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4.25" customHeight="1" x14ac:dyDescent="0.3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4.25" customHeight="1" x14ac:dyDescent="0.3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4.25" customHeight="1" x14ac:dyDescent="0.3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4.25" customHeight="1" x14ac:dyDescent="0.3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4.25" customHeight="1" x14ac:dyDescent="0.3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4.25" customHeight="1" x14ac:dyDescent="0.3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4.25" customHeight="1" x14ac:dyDescent="0.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4.25" customHeight="1" x14ac:dyDescent="0.3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4.25" customHeight="1" x14ac:dyDescent="0.3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4.25" customHeight="1" x14ac:dyDescent="0.3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4.25" customHeight="1" x14ac:dyDescent="0.3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4.25" customHeight="1" x14ac:dyDescent="0.3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4.25" customHeight="1" x14ac:dyDescent="0.3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4.25" customHeight="1" x14ac:dyDescent="0.3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4.25" customHeight="1" x14ac:dyDescent="0.3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4.25" customHeight="1" x14ac:dyDescent="0.3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4.25" customHeight="1" x14ac:dyDescent="0.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4.25" customHeight="1" x14ac:dyDescent="0.3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4.25" customHeight="1" x14ac:dyDescent="0.3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4.25" customHeight="1" x14ac:dyDescent="0.3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4.25" customHeight="1" x14ac:dyDescent="0.3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4.25" customHeight="1" x14ac:dyDescent="0.3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4.25" customHeight="1" x14ac:dyDescent="0.3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4.25" customHeight="1" x14ac:dyDescent="0.3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4.25" customHeight="1" x14ac:dyDescent="0.3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4.25" customHeight="1" x14ac:dyDescent="0.3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4.25" customHeight="1" x14ac:dyDescent="0.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4.25" customHeight="1" x14ac:dyDescent="0.3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4.25" customHeight="1" x14ac:dyDescent="0.3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4.25" customHeight="1" x14ac:dyDescent="0.3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4.25" customHeight="1" x14ac:dyDescent="0.3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4.25" customHeight="1" x14ac:dyDescent="0.3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4.25" customHeight="1" x14ac:dyDescent="0.3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4.25" customHeight="1" x14ac:dyDescent="0.3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4.25" customHeight="1" x14ac:dyDescent="0.3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4.25" customHeight="1" x14ac:dyDescent="0.3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4.25" customHeight="1" x14ac:dyDescent="0.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4.25" customHeight="1" x14ac:dyDescent="0.3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4.25" customHeight="1" x14ac:dyDescent="0.3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4.25" customHeight="1" x14ac:dyDescent="0.3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4.25" customHeight="1" x14ac:dyDescent="0.3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4.25" customHeight="1" x14ac:dyDescent="0.3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4.25" customHeight="1" x14ac:dyDescent="0.3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4.25" customHeight="1" x14ac:dyDescent="0.3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4.25" customHeight="1" x14ac:dyDescent="0.3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4.25" customHeight="1" x14ac:dyDescent="0.3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4.25" customHeight="1" x14ac:dyDescent="0.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4.25" customHeight="1" x14ac:dyDescent="0.3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4.25" customHeight="1" x14ac:dyDescent="0.3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4.25" customHeight="1" x14ac:dyDescent="0.3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4.25" customHeight="1" x14ac:dyDescent="0.3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4.25" customHeight="1" x14ac:dyDescent="0.3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4.25" customHeight="1" x14ac:dyDescent="0.3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4.25" customHeight="1" x14ac:dyDescent="0.3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4.25" customHeight="1" x14ac:dyDescent="0.3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4.25" customHeight="1" x14ac:dyDescent="0.3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4.25" customHeight="1" x14ac:dyDescent="0.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4.25" customHeight="1" x14ac:dyDescent="0.3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4.25" customHeight="1" x14ac:dyDescent="0.3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4.25" customHeight="1" x14ac:dyDescent="0.3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4.25" customHeight="1" x14ac:dyDescent="0.3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4.25" customHeight="1" x14ac:dyDescent="0.3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4.25" customHeight="1" x14ac:dyDescent="0.3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4.25" customHeight="1" x14ac:dyDescent="0.3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4.25" customHeight="1" x14ac:dyDescent="0.3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4.25" customHeight="1" x14ac:dyDescent="0.3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4.25" customHeight="1" x14ac:dyDescent="0.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4.25" customHeight="1" x14ac:dyDescent="0.3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4.25" customHeight="1" x14ac:dyDescent="0.3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4.25" customHeight="1" x14ac:dyDescent="0.3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4.25" customHeight="1" x14ac:dyDescent="0.3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4.25" customHeight="1" x14ac:dyDescent="0.3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4.25" customHeight="1" x14ac:dyDescent="0.3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4.25" customHeight="1" x14ac:dyDescent="0.3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4.25" customHeight="1" x14ac:dyDescent="0.3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4.25" customHeight="1" x14ac:dyDescent="0.3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4.25" customHeight="1" x14ac:dyDescent="0.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4.25" customHeight="1" x14ac:dyDescent="0.3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4.25" customHeight="1" x14ac:dyDescent="0.3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4.25" customHeight="1" x14ac:dyDescent="0.3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4.25" customHeight="1" x14ac:dyDescent="0.3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4.25" customHeight="1" x14ac:dyDescent="0.3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4.25" customHeight="1" x14ac:dyDescent="0.3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4.25" customHeight="1" x14ac:dyDescent="0.3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4.25" customHeight="1" x14ac:dyDescent="0.3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4.25" customHeight="1" x14ac:dyDescent="0.3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4.25" customHeight="1" x14ac:dyDescent="0.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4.25" customHeight="1" x14ac:dyDescent="0.3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4.25" customHeight="1" x14ac:dyDescent="0.3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4.25" customHeight="1" x14ac:dyDescent="0.3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4.25" customHeight="1" x14ac:dyDescent="0.3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4.25" customHeight="1" x14ac:dyDescent="0.3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4.25" customHeight="1" x14ac:dyDescent="0.3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4.25" customHeight="1" x14ac:dyDescent="0.3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4.25" customHeight="1" x14ac:dyDescent="0.3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4.25" customHeight="1" x14ac:dyDescent="0.3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4.25" customHeight="1" x14ac:dyDescent="0.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4.25" customHeight="1" x14ac:dyDescent="0.3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4.25" customHeight="1" x14ac:dyDescent="0.3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4.25" customHeight="1" x14ac:dyDescent="0.3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4.25" customHeight="1" x14ac:dyDescent="0.3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4.25" customHeight="1" x14ac:dyDescent="0.3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4.25" customHeight="1" x14ac:dyDescent="0.3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4.25" customHeight="1" x14ac:dyDescent="0.3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4.25" customHeight="1" x14ac:dyDescent="0.3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4.25" customHeight="1" x14ac:dyDescent="0.3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4.25" customHeight="1" x14ac:dyDescent="0.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4.25" customHeight="1" x14ac:dyDescent="0.3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4.25" customHeight="1" x14ac:dyDescent="0.3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4.25" customHeight="1" x14ac:dyDescent="0.3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4.25" customHeight="1" x14ac:dyDescent="0.3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4.25" customHeight="1" x14ac:dyDescent="0.3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4.25" customHeight="1" x14ac:dyDescent="0.3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4.25" customHeight="1" x14ac:dyDescent="0.3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4.25" customHeight="1" x14ac:dyDescent="0.3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4.25" customHeight="1" x14ac:dyDescent="0.3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4.25" customHeight="1" x14ac:dyDescent="0.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4.25" customHeight="1" x14ac:dyDescent="0.3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4.25" customHeight="1" x14ac:dyDescent="0.3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4.25" customHeight="1" x14ac:dyDescent="0.3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4.25" customHeight="1" x14ac:dyDescent="0.3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4.25" customHeight="1" x14ac:dyDescent="0.3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4.25" customHeight="1" x14ac:dyDescent="0.3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4.25" customHeight="1" x14ac:dyDescent="0.3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4.25" customHeight="1" x14ac:dyDescent="0.3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4.25" customHeight="1" x14ac:dyDescent="0.3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4.25" customHeight="1" x14ac:dyDescent="0.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4.25" customHeight="1" x14ac:dyDescent="0.3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4.25" customHeight="1" x14ac:dyDescent="0.3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4.25" customHeight="1" x14ac:dyDescent="0.3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4.25" customHeight="1" x14ac:dyDescent="0.3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4.25" customHeight="1" x14ac:dyDescent="0.3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4.25" customHeight="1" x14ac:dyDescent="0.3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4.25" customHeight="1" x14ac:dyDescent="0.3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4.25" customHeight="1" x14ac:dyDescent="0.3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4.25" customHeight="1" x14ac:dyDescent="0.3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4.25" customHeight="1" x14ac:dyDescent="0.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4.25" customHeight="1" x14ac:dyDescent="0.3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4.25" customHeight="1" x14ac:dyDescent="0.3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4.25" customHeight="1" x14ac:dyDescent="0.3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4.25" customHeight="1" x14ac:dyDescent="0.3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4.25" customHeight="1" x14ac:dyDescent="0.3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4.25" customHeight="1" x14ac:dyDescent="0.3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4.25" customHeight="1" x14ac:dyDescent="0.3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4.25" customHeight="1" x14ac:dyDescent="0.3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4.25" customHeight="1" x14ac:dyDescent="0.3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4.25" customHeight="1" x14ac:dyDescent="0.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4.25" customHeight="1" x14ac:dyDescent="0.3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4.25" customHeight="1" x14ac:dyDescent="0.3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4.25" customHeight="1" x14ac:dyDescent="0.3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4.25" customHeight="1" x14ac:dyDescent="0.3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4.25" customHeight="1" x14ac:dyDescent="0.3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4.25" customHeight="1" x14ac:dyDescent="0.3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4.25" customHeight="1" x14ac:dyDescent="0.3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4.25" customHeight="1" x14ac:dyDescent="0.3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4.25" customHeight="1" x14ac:dyDescent="0.3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4.25" customHeight="1" x14ac:dyDescent="0.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4.25" customHeight="1" x14ac:dyDescent="0.3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4.25" customHeight="1" x14ac:dyDescent="0.3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4.25" customHeight="1" x14ac:dyDescent="0.3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4.25" customHeight="1" x14ac:dyDescent="0.3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4.25" customHeight="1" x14ac:dyDescent="0.3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4.25" customHeight="1" x14ac:dyDescent="0.3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4.25" customHeight="1" x14ac:dyDescent="0.3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4.25" customHeight="1" x14ac:dyDescent="0.3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4.25" customHeight="1" x14ac:dyDescent="0.3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4.25" customHeight="1" x14ac:dyDescent="0.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4.25" customHeight="1" x14ac:dyDescent="0.3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4.25" customHeight="1" x14ac:dyDescent="0.3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4.25" customHeight="1" x14ac:dyDescent="0.3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4.25" customHeight="1" x14ac:dyDescent="0.3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4.25" customHeight="1" x14ac:dyDescent="0.3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4.25" customHeight="1" x14ac:dyDescent="0.3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4.25" customHeight="1" x14ac:dyDescent="0.3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4.25" customHeight="1" x14ac:dyDescent="0.3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4.25" customHeight="1" x14ac:dyDescent="0.3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4.25" customHeight="1" x14ac:dyDescent="0.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4.25" customHeight="1" x14ac:dyDescent="0.3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4.25" customHeight="1" x14ac:dyDescent="0.3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4.25" customHeight="1" x14ac:dyDescent="0.3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4.25" customHeight="1" x14ac:dyDescent="0.3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4.25" customHeight="1" x14ac:dyDescent="0.3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4.25" customHeight="1" x14ac:dyDescent="0.3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4.25" customHeight="1" x14ac:dyDescent="0.3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4.25" customHeight="1" x14ac:dyDescent="0.3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4.25" customHeight="1" x14ac:dyDescent="0.3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4.25" customHeight="1" x14ac:dyDescent="0.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4.25" customHeight="1" x14ac:dyDescent="0.3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4.25" customHeight="1" x14ac:dyDescent="0.3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4.25" customHeight="1" x14ac:dyDescent="0.3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4.25" customHeight="1" x14ac:dyDescent="0.3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4.25" customHeight="1" x14ac:dyDescent="0.3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4.25" customHeight="1" x14ac:dyDescent="0.3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4.25" customHeight="1" x14ac:dyDescent="0.3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4.25" customHeight="1" x14ac:dyDescent="0.3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4.25" customHeight="1" x14ac:dyDescent="0.3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4.25" customHeight="1" x14ac:dyDescent="0.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4.25" customHeight="1" x14ac:dyDescent="0.3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4.25" customHeight="1" x14ac:dyDescent="0.3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4.25" customHeight="1" x14ac:dyDescent="0.3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4.25" customHeight="1" x14ac:dyDescent="0.3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4.25" customHeight="1" x14ac:dyDescent="0.3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4.25" customHeight="1" x14ac:dyDescent="0.3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4.25" customHeight="1" x14ac:dyDescent="0.3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4.25" customHeight="1" x14ac:dyDescent="0.3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4.25" customHeight="1" x14ac:dyDescent="0.3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4.25" customHeight="1" x14ac:dyDescent="0.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4.25" customHeight="1" x14ac:dyDescent="0.3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4.25" customHeight="1" x14ac:dyDescent="0.3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4.25" customHeight="1" x14ac:dyDescent="0.3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4.25" customHeight="1" x14ac:dyDescent="0.3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4.25" customHeight="1" x14ac:dyDescent="0.3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4.25" customHeight="1" x14ac:dyDescent="0.3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4.25" customHeight="1" x14ac:dyDescent="0.3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4.25" customHeight="1" x14ac:dyDescent="0.3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4.25" customHeight="1" x14ac:dyDescent="0.3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4.25" customHeight="1" x14ac:dyDescent="0.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4.25" customHeight="1" x14ac:dyDescent="0.3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4.25" customHeight="1" x14ac:dyDescent="0.3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4.25" customHeight="1" x14ac:dyDescent="0.3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4.25" customHeight="1" x14ac:dyDescent="0.3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4.25" customHeight="1" x14ac:dyDescent="0.3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4.25" customHeight="1" x14ac:dyDescent="0.3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4.25" customHeight="1" x14ac:dyDescent="0.3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4.25" customHeight="1" x14ac:dyDescent="0.3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4.25" customHeight="1" x14ac:dyDescent="0.3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4.25" customHeight="1" x14ac:dyDescent="0.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4.25" customHeight="1" x14ac:dyDescent="0.3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4.25" customHeight="1" x14ac:dyDescent="0.3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4.25" customHeight="1" x14ac:dyDescent="0.3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4.25" customHeight="1" x14ac:dyDescent="0.3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4.25" customHeight="1" x14ac:dyDescent="0.3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4.25" customHeight="1" x14ac:dyDescent="0.3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4.25" customHeight="1" x14ac:dyDescent="0.3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4.25" customHeight="1" x14ac:dyDescent="0.3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4.25" customHeight="1" x14ac:dyDescent="0.3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4.25" customHeight="1" x14ac:dyDescent="0.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4.25" customHeight="1" x14ac:dyDescent="0.3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4.25" customHeight="1" x14ac:dyDescent="0.3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4.25" customHeight="1" x14ac:dyDescent="0.3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4.25" customHeight="1" x14ac:dyDescent="0.3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4.25" customHeight="1" x14ac:dyDescent="0.3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4.25" customHeight="1" x14ac:dyDescent="0.3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4.25" customHeight="1" x14ac:dyDescent="0.3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4.25" customHeight="1" x14ac:dyDescent="0.3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4.25" customHeight="1" x14ac:dyDescent="0.3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4.25" customHeight="1" x14ac:dyDescent="0.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4.25" customHeight="1" x14ac:dyDescent="0.3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4.25" customHeight="1" x14ac:dyDescent="0.3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4.25" customHeight="1" x14ac:dyDescent="0.3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4.25" customHeight="1" x14ac:dyDescent="0.3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4.25" customHeight="1" x14ac:dyDescent="0.3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4.25" customHeight="1" x14ac:dyDescent="0.3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4.25" customHeight="1" x14ac:dyDescent="0.3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4.25" customHeight="1" x14ac:dyDescent="0.3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4.25" customHeight="1" x14ac:dyDescent="0.3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4.25" customHeight="1" x14ac:dyDescent="0.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4.25" customHeight="1" x14ac:dyDescent="0.3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4.25" customHeight="1" x14ac:dyDescent="0.3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4.25" customHeight="1" x14ac:dyDescent="0.3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4.25" customHeight="1" x14ac:dyDescent="0.3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4.25" customHeight="1" x14ac:dyDescent="0.3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4.25" customHeight="1" x14ac:dyDescent="0.3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4.25" customHeight="1" x14ac:dyDescent="0.3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4.25" customHeight="1" x14ac:dyDescent="0.3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4.25" customHeight="1" x14ac:dyDescent="0.3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4.25" customHeight="1" x14ac:dyDescent="0.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4.25" customHeight="1" x14ac:dyDescent="0.3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4.25" customHeight="1" x14ac:dyDescent="0.3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4.25" customHeight="1" x14ac:dyDescent="0.3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4.25" customHeight="1" x14ac:dyDescent="0.3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4.25" customHeight="1" x14ac:dyDescent="0.3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4.25" customHeight="1" x14ac:dyDescent="0.3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4.25" customHeight="1" x14ac:dyDescent="0.3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4.25" customHeight="1" x14ac:dyDescent="0.3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4.25" customHeight="1" x14ac:dyDescent="0.3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4.25" customHeight="1" x14ac:dyDescent="0.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4.25" customHeight="1" x14ac:dyDescent="0.3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4.25" customHeight="1" x14ac:dyDescent="0.3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4.25" customHeight="1" x14ac:dyDescent="0.3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4.25" customHeight="1" x14ac:dyDescent="0.3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4.25" customHeight="1" x14ac:dyDescent="0.3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4.25" customHeight="1" x14ac:dyDescent="0.3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4.25" customHeight="1" x14ac:dyDescent="0.3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4.25" customHeight="1" x14ac:dyDescent="0.3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4.25" customHeight="1" x14ac:dyDescent="0.3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4.25" customHeight="1" x14ac:dyDescent="0.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4.25" customHeight="1" x14ac:dyDescent="0.3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4.25" customHeight="1" x14ac:dyDescent="0.3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4.25" customHeight="1" x14ac:dyDescent="0.3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4.25" customHeight="1" x14ac:dyDescent="0.3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4.25" customHeight="1" x14ac:dyDescent="0.3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4.25" customHeight="1" x14ac:dyDescent="0.3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4.25" customHeight="1" x14ac:dyDescent="0.3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4.25" customHeight="1" x14ac:dyDescent="0.3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4.25" customHeight="1" x14ac:dyDescent="0.3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4.25" customHeight="1" x14ac:dyDescent="0.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4.25" customHeight="1" x14ac:dyDescent="0.3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4.25" customHeight="1" x14ac:dyDescent="0.3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4.25" customHeight="1" x14ac:dyDescent="0.3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4.25" customHeight="1" x14ac:dyDescent="0.3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4.25" customHeight="1" x14ac:dyDescent="0.3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4.25" customHeight="1" x14ac:dyDescent="0.3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4.25" customHeight="1" x14ac:dyDescent="0.3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4.25" customHeight="1" x14ac:dyDescent="0.3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4.25" customHeight="1" x14ac:dyDescent="0.3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4.25" customHeight="1" x14ac:dyDescent="0.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4.25" customHeight="1" x14ac:dyDescent="0.3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4.25" customHeight="1" x14ac:dyDescent="0.3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4.25" customHeight="1" x14ac:dyDescent="0.3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4.25" customHeight="1" x14ac:dyDescent="0.3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4.25" customHeight="1" x14ac:dyDescent="0.3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4.25" customHeight="1" x14ac:dyDescent="0.3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4.25" customHeight="1" x14ac:dyDescent="0.3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4.25" customHeight="1" x14ac:dyDescent="0.3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4.25" customHeight="1" x14ac:dyDescent="0.3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4.25" customHeight="1" x14ac:dyDescent="0.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4.25" customHeight="1" x14ac:dyDescent="0.3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4.25" customHeight="1" x14ac:dyDescent="0.3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4.25" customHeight="1" x14ac:dyDescent="0.3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4.25" customHeight="1" x14ac:dyDescent="0.3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4.25" customHeight="1" x14ac:dyDescent="0.3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4.25" customHeight="1" x14ac:dyDescent="0.3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4.25" customHeight="1" x14ac:dyDescent="0.3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4.25" customHeight="1" x14ac:dyDescent="0.3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4.25" customHeight="1" x14ac:dyDescent="0.3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4.25" customHeight="1" x14ac:dyDescent="0.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4.25" customHeight="1" x14ac:dyDescent="0.3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4.25" customHeight="1" x14ac:dyDescent="0.3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4.25" customHeight="1" x14ac:dyDescent="0.3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4.25" customHeight="1" x14ac:dyDescent="0.3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4.25" customHeight="1" x14ac:dyDescent="0.3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4.25" customHeight="1" x14ac:dyDescent="0.3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4.25" customHeight="1" x14ac:dyDescent="0.3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4.25" customHeight="1" x14ac:dyDescent="0.3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4.25" customHeight="1" x14ac:dyDescent="0.3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4.25" customHeight="1" x14ac:dyDescent="0.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4.25" customHeight="1" x14ac:dyDescent="0.3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4.25" customHeight="1" x14ac:dyDescent="0.3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4.25" customHeight="1" x14ac:dyDescent="0.3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4.25" customHeight="1" x14ac:dyDescent="0.3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4.25" customHeight="1" x14ac:dyDescent="0.3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4.25" customHeight="1" x14ac:dyDescent="0.3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4.25" customHeight="1" x14ac:dyDescent="0.3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4.25" customHeight="1" x14ac:dyDescent="0.3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4.25" customHeight="1" x14ac:dyDescent="0.3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4.25" customHeight="1" x14ac:dyDescent="0.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4.25" customHeight="1" x14ac:dyDescent="0.3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4.25" customHeight="1" x14ac:dyDescent="0.3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4.25" customHeight="1" x14ac:dyDescent="0.3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4.25" customHeight="1" x14ac:dyDescent="0.3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4.25" customHeight="1" x14ac:dyDescent="0.3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4.25" customHeight="1" x14ac:dyDescent="0.3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4.25" customHeight="1" x14ac:dyDescent="0.3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4.25" customHeight="1" x14ac:dyDescent="0.3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4.25" customHeight="1" x14ac:dyDescent="0.3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4.25" customHeight="1" x14ac:dyDescent="0.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4.25" customHeight="1" x14ac:dyDescent="0.3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4.25" customHeight="1" x14ac:dyDescent="0.3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4.25" customHeight="1" x14ac:dyDescent="0.3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4.25" customHeight="1" x14ac:dyDescent="0.3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4.25" customHeight="1" x14ac:dyDescent="0.3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4.25" customHeight="1" x14ac:dyDescent="0.3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4.25" customHeight="1" x14ac:dyDescent="0.3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4.25" customHeight="1" x14ac:dyDescent="0.3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4.25" customHeight="1" x14ac:dyDescent="0.3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4.25" customHeight="1" x14ac:dyDescent="0.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4.25" customHeight="1" x14ac:dyDescent="0.3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4.25" customHeight="1" x14ac:dyDescent="0.3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4.25" customHeight="1" x14ac:dyDescent="0.3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4.25" customHeight="1" x14ac:dyDescent="0.3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4.25" customHeight="1" x14ac:dyDescent="0.3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4.25" customHeight="1" x14ac:dyDescent="0.3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4.25" customHeight="1" x14ac:dyDescent="0.3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4.25" customHeight="1" x14ac:dyDescent="0.3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4.25" customHeight="1" x14ac:dyDescent="0.3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4.25" customHeight="1" x14ac:dyDescent="0.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4.25" customHeight="1" x14ac:dyDescent="0.3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4.25" customHeight="1" x14ac:dyDescent="0.3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4.25" customHeight="1" x14ac:dyDescent="0.3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4.25" customHeight="1" x14ac:dyDescent="0.3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4.25" customHeight="1" x14ac:dyDescent="0.3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4.25" customHeight="1" x14ac:dyDescent="0.3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4.25" customHeight="1" x14ac:dyDescent="0.3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4.25" customHeight="1" x14ac:dyDescent="0.3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4.25" customHeight="1" x14ac:dyDescent="0.3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4.25" customHeight="1" x14ac:dyDescent="0.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4.25" customHeight="1" x14ac:dyDescent="0.3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4.25" customHeight="1" x14ac:dyDescent="0.3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4.25" customHeight="1" x14ac:dyDescent="0.3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4.25" customHeight="1" x14ac:dyDescent="0.3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4.25" customHeight="1" x14ac:dyDescent="0.3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4.25" customHeight="1" x14ac:dyDescent="0.3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4.25" customHeight="1" x14ac:dyDescent="0.3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4.25" customHeight="1" x14ac:dyDescent="0.3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4.25" customHeight="1" x14ac:dyDescent="0.3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4.25" customHeight="1" x14ac:dyDescent="0.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4.25" customHeight="1" x14ac:dyDescent="0.3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4.25" customHeight="1" x14ac:dyDescent="0.3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4.25" customHeight="1" x14ac:dyDescent="0.3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4.25" customHeight="1" x14ac:dyDescent="0.3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4.25" customHeight="1" x14ac:dyDescent="0.3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4.25" customHeight="1" x14ac:dyDescent="0.3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4.25" customHeight="1" x14ac:dyDescent="0.3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4.25" customHeight="1" x14ac:dyDescent="0.3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4.25" customHeight="1" x14ac:dyDescent="0.3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4.25" customHeight="1" x14ac:dyDescent="0.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4.25" customHeight="1" x14ac:dyDescent="0.3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4.25" customHeight="1" x14ac:dyDescent="0.3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4.25" customHeight="1" x14ac:dyDescent="0.3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4.25" customHeight="1" x14ac:dyDescent="0.3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4.25" customHeight="1" x14ac:dyDescent="0.3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4.25" customHeight="1" x14ac:dyDescent="0.3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4.25" customHeight="1" x14ac:dyDescent="0.3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4.25" customHeight="1" x14ac:dyDescent="0.3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4.25" customHeight="1" x14ac:dyDescent="0.3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4.25" customHeight="1" x14ac:dyDescent="0.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4.25" customHeight="1" x14ac:dyDescent="0.3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4.25" customHeight="1" x14ac:dyDescent="0.3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4.25" customHeight="1" x14ac:dyDescent="0.3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4.25" customHeight="1" x14ac:dyDescent="0.3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4.25" customHeight="1" x14ac:dyDescent="0.3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4.25" customHeight="1" x14ac:dyDescent="0.3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4.25" customHeight="1" x14ac:dyDescent="0.3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4.25" customHeight="1" x14ac:dyDescent="0.3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4.25" customHeight="1" x14ac:dyDescent="0.3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4.25" customHeight="1" x14ac:dyDescent="0.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4.25" customHeight="1" x14ac:dyDescent="0.3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4.25" customHeight="1" x14ac:dyDescent="0.3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4.25" customHeight="1" x14ac:dyDescent="0.3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4.25" customHeight="1" x14ac:dyDescent="0.3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4.25" customHeight="1" x14ac:dyDescent="0.3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4.25" customHeight="1" x14ac:dyDescent="0.3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4.25" customHeight="1" x14ac:dyDescent="0.3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4.25" customHeight="1" x14ac:dyDescent="0.3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4.25" customHeight="1" x14ac:dyDescent="0.3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4.25" customHeight="1" x14ac:dyDescent="0.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4.25" customHeight="1" x14ac:dyDescent="0.3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4.25" customHeight="1" x14ac:dyDescent="0.3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4.25" customHeight="1" x14ac:dyDescent="0.3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4.25" customHeight="1" x14ac:dyDescent="0.3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4.25" customHeight="1" x14ac:dyDescent="0.3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4.25" customHeight="1" x14ac:dyDescent="0.3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4.25" customHeight="1" x14ac:dyDescent="0.3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4.25" customHeight="1" x14ac:dyDescent="0.3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4.25" customHeight="1" x14ac:dyDescent="0.3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4.25" customHeight="1" x14ac:dyDescent="0.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4.25" customHeight="1" x14ac:dyDescent="0.3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4.25" customHeight="1" x14ac:dyDescent="0.3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4.25" customHeight="1" x14ac:dyDescent="0.3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4.25" customHeight="1" x14ac:dyDescent="0.3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4.25" customHeight="1" x14ac:dyDescent="0.3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4.25" customHeight="1" x14ac:dyDescent="0.3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4.25" customHeight="1" x14ac:dyDescent="0.3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4.25" customHeight="1" x14ac:dyDescent="0.3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4.25" customHeight="1" x14ac:dyDescent="0.3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4.25" customHeight="1" x14ac:dyDescent="0.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4.25" customHeight="1" x14ac:dyDescent="0.3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4.25" customHeight="1" x14ac:dyDescent="0.3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4.25" customHeight="1" x14ac:dyDescent="0.3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4.25" customHeight="1" x14ac:dyDescent="0.3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4.25" customHeight="1" x14ac:dyDescent="0.3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4.25" customHeight="1" x14ac:dyDescent="0.3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4.25" customHeight="1" x14ac:dyDescent="0.3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4.25" customHeight="1" x14ac:dyDescent="0.3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4.25" customHeight="1" x14ac:dyDescent="0.3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4.25" customHeight="1" x14ac:dyDescent="0.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4.25" customHeight="1" x14ac:dyDescent="0.3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4.25" customHeight="1" x14ac:dyDescent="0.3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4.25" customHeight="1" x14ac:dyDescent="0.3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4.25" customHeight="1" x14ac:dyDescent="0.3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4.25" customHeight="1" x14ac:dyDescent="0.3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4.25" customHeight="1" x14ac:dyDescent="0.3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4.25" customHeight="1" x14ac:dyDescent="0.3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4.25" customHeight="1" x14ac:dyDescent="0.3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4.25" customHeight="1" x14ac:dyDescent="0.3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4.25" customHeight="1" x14ac:dyDescent="0.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4.25" customHeight="1" x14ac:dyDescent="0.3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4.25" customHeight="1" x14ac:dyDescent="0.3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4.25" customHeight="1" x14ac:dyDescent="0.3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4.25" customHeight="1" x14ac:dyDescent="0.3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4.25" customHeight="1" x14ac:dyDescent="0.3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4.25" customHeight="1" x14ac:dyDescent="0.3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4.25" customHeight="1" x14ac:dyDescent="0.3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4.25" customHeight="1" x14ac:dyDescent="0.3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4.25" customHeight="1" x14ac:dyDescent="0.3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4.25" customHeight="1" x14ac:dyDescent="0.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4.25" customHeight="1" x14ac:dyDescent="0.3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4.25" customHeight="1" x14ac:dyDescent="0.3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4.25" customHeight="1" x14ac:dyDescent="0.3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4.25" customHeight="1" x14ac:dyDescent="0.3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4.25" customHeight="1" x14ac:dyDescent="0.3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4.25" customHeight="1" x14ac:dyDescent="0.3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4.25" customHeight="1" x14ac:dyDescent="0.3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4.25" customHeight="1" x14ac:dyDescent="0.3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4.25" customHeight="1" x14ac:dyDescent="0.3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4.25" customHeight="1" x14ac:dyDescent="0.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4.25" customHeight="1" x14ac:dyDescent="0.3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4.25" customHeight="1" x14ac:dyDescent="0.3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4.25" customHeight="1" x14ac:dyDescent="0.3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4.25" customHeight="1" x14ac:dyDescent="0.3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4.25" customHeight="1" x14ac:dyDescent="0.3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4.25" customHeight="1" x14ac:dyDescent="0.3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4.25" customHeight="1" x14ac:dyDescent="0.3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4.25" customHeight="1" x14ac:dyDescent="0.3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4.25" customHeight="1" x14ac:dyDescent="0.3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4.25" customHeight="1" x14ac:dyDescent="0.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4.25" customHeight="1" x14ac:dyDescent="0.3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4.25" customHeight="1" x14ac:dyDescent="0.3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4.25" customHeight="1" x14ac:dyDescent="0.3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4.25" customHeight="1" x14ac:dyDescent="0.3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4.25" customHeight="1" x14ac:dyDescent="0.3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4.25" customHeight="1" x14ac:dyDescent="0.3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4.25" customHeight="1" x14ac:dyDescent="0.3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4.25" customHeight="1" x14ac:dyDescent="0.3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4.25" customHeight="1" x14ac:dyDescent="0.3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4.25" customHeight="1" x14ac:dyDescent="0.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4.25" customHeight="1" x14ac:dyDescent="0.3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4.25" customHeight="1" x14ac:dyDescent="0.3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4.25" customHeight="1" x14ac:dyDescent="0.3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4.25" customHeight="1" x14ac:dyDescent="0.3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4.25" customHeight="1" x14ac:dyDescent="0.3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4.25" customHeight="1" x14ac:dyDescent="0.3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4.25" customHeight="1" x14ac:dyDescent="0.3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4.25" customHeight="1" x14ac:dyDescent="0.3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4.25" customHeight="1" x14ac:dyDescent="0.3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4.25" customHeight="1" x14ac:dyDescent="0.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4.25" customHeight="1" x14ac:dyDescent="0.3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4.25" customHeight="1" x14ac:dyDescent="0.3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4.25" customHeight="1" x14ac:dyDescent="0.3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4.25" customHeight="1" x14ac:dyDescent="0.3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4.25" customHeight="1" x14ac:dyDescent="0.3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4.25" customHeight="1" x14ac:dyDescent="0.3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4.25" customHeight="1" x14ac:dyDescent="0.3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4.25" customHeight="1" x14ac:dyDescent="0.3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4.25" customHeight="1" x14ac:dyDescent="0.3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4.25" customHeight="1" x14ac:dyDescent="0.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4.25" customHeight="1" x14ac:dyDescent="0.3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4.25" customHeight="1" x14ac:dyDescent="0.3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4.25" customHeight="1" x14ac:dyDescent="0.3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4.25" customHeight="1" x14ac:dyDescent="0.3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4.25" customHeight="1" x14ac:dyDescent="0.3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4.25" customHeight="1" x14ac:dyDescent="0.3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4.25" customHeight="1" x14ac:dyDescent="0.3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4.25" customHeight="1" x14ac:dyDescent="0.3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4.25" customHeight="1" x14ac:dyDescent="0.3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4.25" customHeight="1" x14ac:dyDescent="0.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4.25" customHeight="1" x14ac:dyDescent="0.3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4.25" customHeight="1" x14ac:dyDescent="0.3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4.25" customHeight="1" x14ac:dyDescent="0.3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4.25" customHeight="1" x14ac:dyDescent="0.3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4.25" customHeight="1" x14ac:dyDescent="0.3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4.25" customHeight="1" x14ac:dyDescent="0.3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4.25" customHeight="1" x14ac:dyDescent="0.3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4.25" customHeight="1" x14ac:dyDescent="0.3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4.25" customHeight="1" x14ac:dyDescent="0.3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4.25" customHeight="1" x14ac:dyDescent="0.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4.25" customHeight="1" x14ac:dyDescent="0.3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4.25" customHeight="1" x14ac:dyDescent="0.3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4.25" customHeight="1" x14ac:dyDescent="0.3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4.25" customHeight="1" x14ac:dyDescent="0.3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4.25" customHeight="1" x14ac:dyDescent="0.3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4.25" customHeight="1" x14ac:dyDescent="0.3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4.25" customHeight="1" x14ac:dyDescent="0.3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4.25" customHeight="1" x14ac:dyDescent="0.3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4.25" customHeight="1" x14ac:dyDescent="0.3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4.25" customHeight="1" x14ac:dyDescent="0.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4.25" customHeight="1" x14ac:dyDescent="0.3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4.25" customHeight="1" x14ac:dyDescent="0.3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4.25" customHeight="1" x14ac:dyDescent="0.3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4.25" customHeight="1" x14ac:dyDescent="0.3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4.25" customHeight="1" x14ac:dyDescent="0.3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4.25" customHeight="1" x14ac:dyDescent="0.3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4.25" customHeight="1" x14ac:dyDescent="0.3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4.25" customHeight="1" x14ac:dyDescent="0.3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4.25" customHeight="1" x14ac:dyDescent="0.3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4.25" customHeight="1" x14ac:dyDescent="0.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4.25" customHeight="1" x14ac:dyDescent="0.3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4.25" customHeight="1" x14ac:dyDescent="0.3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4.25" customHeight="1" x14ac:dyDescent="0.3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4.25" customHeight="1" x14ac:dyDescent="0.3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4.25" customHeight="1" x14ac:dyDescent="0.3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4.25" customHeight="1" x14ac:dyDescent="0.3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4.25" customHeight="1" x14ac:dyDescent="0.3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</vt:lpstr>
      <vt:lpstr>Test case List</vt:lpstr>
      <vt:lpstr>TestDesign</vt:lpstr>
      <vt:lpstr>Accessory</vt:lpstr>
      <vt:lpstr>Consumable</vt:lpstr>
      <vt:lpstr>Component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Văn Huy</cp:lastModifiedBy>
  <dcterms:created xsi:type="dcterms:W3CDTF">2014-07-14T08:56:24Z</dcterms:created>
  <dcterms:modified xsi:type="dcterms:W3CDTF">2026-10-23T13:26:22Z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2026-10-23T13:15:04Z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fac5a844-f8b0-4cd5-b48e-42267b029573</vt:lpwstr>
  </property>
  <property fmtid="{D5CDD505-2E9C-101B-9397-08002B2CF9AE}" pid="7" name="MSIP_Label_defa4170-0d19-0005-0004-bc88714345d2_ActionId">
    <vt:lpwstr>f623ae9e-833b-4bea-91bd-77c2f3891f94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